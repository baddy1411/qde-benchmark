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DM comparisons" sheetId="2" state="visible" r:id="rId4"/>
    <sheet name="Measured results" sheetId="3" state="visible" r:id="rId5"/>
    <sheet name="Model scoreboard" sheetId="4" state="visible" r:id="rId6"/>
    <sheet name="Summary" sheetId="5" state="visible" r:id="rId7"/>
  </sheets>
  <definedNames>
    <definedName function="false" hidden="true" localSheetId="1" name="_xlnm._FilterDatabase" vbProcedure="false">'DM comparisons'!$A$1:$L$322</definedName>
    <definedName function="false" hidden="true" localSheetId="2" name="_xlnm._FilterDatabase" vbProcedure="false">'Measured results'!$A$1:$N$948</definedName>
    <definedName function="false" hidden="true" localSheetId="3" name="_xlnm._FilterDatabase" vbProcedure="false">'Model scoreboard'!$A$1:$R$361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<sst xmlns="http://schemas.openxmlformats.org/spreadsheetml/2006/main" count="6346" uniqueCount="149">
  <si>
    <t xml:space="preserve">QDE benchmark — measured results and statistical comparisons</t>
  </si>
  <si>
    <t xml:space="preserve">Quantum vs classical reservoir computing on chaotic time series · M.Sc. Data Engineering · Badrish Madapuji Srinivasan</t>
  </si>
  <si>
    <t xml:space="preserve">SHEETS</t>
  </si>
  <si>
    <t xml:space="preserve">DM comparisons</t>
  </si>
  <si>
    <t xml:space="preserve">All 321 per-seed Diebold-Mariano tests, with the 214-member pre-specified family flagged in the 'In 214 family' column.</t>
  </si>
  <si>
    <t xml:space="preserve">   Why 214 and not 321</t>
  </si>
  <si>
    <t xml:space="preserve">ESN(F) carries exactly the same feature budget as the quantum model at every size (64, 96, 128, 160, 192), so it IS feature-matched -- it sits outside the statistical family, not outside the matching. The family is the confirmatory test of the research question: ELM(F) asks whether the quantum feature map beats a classical one of the same size, and NG-RC asks whether it is competitive with the strongest classical method. ESN(F) answers neither; it is simply a weak reservoir on these tasks, four to five times worse than the quantum model. The quantum model wins all 107 of those comparisons, and that result is reported rather than buried -- it is the basis of the thesis's own point that beating a size-matched baseline is not a quantum advantage, since NG-RC remains several orders of magnitude ahead on 21 features.</t>
  </si>
  <si>
    <t xml:space="preserve">Measured results</t>
  </si>
  <si>
    <t xml:space="preserve">All 947 runs of the qubit-scaling study with every parameter that defines them: system, qubit count, feature budget F, seed, virtual nodes, window, shots and read-out set.</t>
  </si>
  <si>
    <t xml:space="preserve">Model scoreboard</t>
  </si>
  <si>
    <t xml:space="preserve">All 360 leaderboard runs across every model family on one common split, with all seven error metrics.</t>
  </si>
  <si>
    <t xml:space="preserve">Summary</t>
  </si>
  <si>
    <t xml:space="preserve">Counts and medians, computed from the other sheets by formula.</t>
  </si>
  <si>
    <t xml:space="preserve">COLOUR KEY</t>
  </si>
  <si>
    <t xml:space="preserve">Blue rows</t>
  </si>
  <si>
    <t xml:space="preserve">Quantum model (gate-based quantum reservoir, QRC).</t>
  </si>
  <si>
    <t xml:space="preserve">Grey rows</t>
  </si>
  <si>
    <t xml:space="preserve">Classical model (ELM, ESN, NG-RC, and the wider baseline field).</t>
  </si>
  <si>
    <t xml:space="preserve">Amber cell</t>
  </si>
  <si>
    <t xml:space="preserve">Best value in its category — lowest error. Driven by a formula, so it follows the data if a value changes.</t>
  </si>
  <si>
    <t xml:space="preserve">Coral row</t>
  </si>
  <si>
    <t xml:space="preserve">The single comparison of 214 that favoured the quantum model (Henon, 4 qubits, seed 0). See the note on that row.</t>
  </si>
  <si>
    <t xml:space="preserve">HOW TO READ NRMSE</t>
  </si>
  <si>
    <t xml:space="preserve">NRMSE</t>
  </si>
  <si>
    <t xml:space="preserve">Root-mean-square error divided by the standard deviation of the target. Lower is better. 1.0 is the score of predicting the mean, so any value near 1.0 means the model has learned essentially nothing.</t>
  </si>
  <si>
    <t xml:space="preserve">DM statistic</t>
  </si>
  <si>
    <t xml:space="preserve">Diebold-Mariano test of equal forecast accuracy. NEGATIVE means the quantum model had the smaller loss; POSITIVE means the classical model did.</t>
  </si>
  <si>
    <t xml:space="preserve">Holm-adjusted p</t>
  </si>
  <si>
    <t xml:space="preserve">Holm-Bonferroni step-down correction across the 214-member family, computed in Python because the step-down procedure has no clean spreadsheet form. All 214 remain significant after correction.</t>
  </si>
  <si>
    <t xml:space="preserve">PROVENANCE</t>
  </si>
  <si>
    <t xml:space="preserve">Source artifacts</t>
  </si>
  <si>
    <t xml:space="preserve">results/scaling_proof/{scores,dm}.csv and results/model_scoreboard_all_runs.csv, all committed. Built by scripts/build_results_workbook.py.</t>
  </si>
  <si>
    <t xml:space="preserve">Common conditions</t>
  </si>
  <si>
    <t xml:space="preserve">Every run: min-max scaling fitted on training data only, 60/20/20 chronological split, washout 100, horizon 1 step, ridge alpha 1e-6. Exact expectation values (no shot sampling) unless a shots column says otherwise.</t>
  </si>
  <si>
    <t xml:space="preserve">System</t>
  </si>
  <si>
    <t xml:space="preserve">Qubits</t>
  </si>
  <si>
    <t xml:space="preserve">Quantum model</t>
  </si>
  <si>
    <t xml:space="preserve">Compared against</t>
  </si>
  <si>
    <t xml:space="preserve">In 214 family</t>
  </si>
  <si>
    <t xml:space="preserve">Seed</t>
  </si>
  <si>
    <t xml:space="preserve">p-value</t>
  </si>
  <si>
    <t xml:space="preserve">Holm-adjusted p (family only)</t>
  </si>
  <si>
    <t xml:space="preserve">Winner</t>
  </si>
  <si>
    <t xml:space="preserve">Significant at 0.05</t>
  </si>
  <si>
    <t xml:space="preserve">Note</t>
  </si>
  <si>
    <t xml:space="preserve">henon</t>
  </si>
  <si>
    <t xml:space="preserve">QRC-rich</t>
  </si>
  <si>
    <t xml:space="preserve">ELM(F) — feature-matched control</t>
  </si>
  <si>
    <t xml:space="preserve">yes</t>
  </si>
  <si>
    <t xml:space="preserve">THE ONE REVERSAL OF 214. The control here is a random projection and this seed is its worst draw of twenty (0.0062 against a best of 0.0015); the quantum model scores 0.0044 on every seed. The Windows re-run reversed this same cell.</t>
  </si>
  <si>
    <t xml:space="preserve">lorenz</t>
  </si>
  <si>
    <t xml:space="preserve">mackeyglass</t>
  </si>
  <si>
    <t xml:space="preserve">NG-RC — strong structural reference</t>
  </si>
  <si>
    <t xml:space="preserve">ESN(F) — size-matched reservoir</t>
  </si>
  <si>
    <t xml:space="preserve">no (extra)</t>
  </si>
  <si>
    <t xml:space="preserve">Quantum wins. ESN(F) is equally feature-matched but is the weakest model here, so this is expected and is reported, not hidden — it is the basis of the thesis's point that beating a size-matched baseline is not a quantum advantage. NG-RC beats both on 21 features.</t>
  </si>
  <si>
    <t xml:space="preserve">Qubit setting</t>
  </si>
  <si>
    <t xml:space="preserve">Model</t>
  </si>
  <si>
    <t xml:space="preserve">Model type</t>
  </si>
  <si>
    <t xml:space="preserve">Features F</t>
  </si>
  <si>
    <t xml:space="preserve">Points</t>
  </si>
  <si>
    <t xml:space="preserve">Virtual nodes V</t>
  </si>
  <si>
    <t xml:space="preserve">Window</t>
  </si>
  <si>
    <t xml:space="preserve">Shots</t>
  </si>
  <si>
    <t xml:space="preserve">Read-out</t>
  </si>
  <si>
    <t xml:space="preserve">NG-RC degree</t>
  </si>
  <si>
    <t xml:space="preserve">Best in this system+size</t>
  </si>
  <si>
    <t xml:space="preserve">ELM(F) — feature-matched</t>
  </si>
  <si>
    <t xml:space="preserve">Classical</t>
  </si>
  <si>
    <t xml:space="preserve">ESN(F) — size-matched</t>
  </si>
  <si>
    <t xml:space="preserve">NG-RC — strong reference</t>
  </si>
  <si>
    <t xml:space="preserve">QRC-rich (quantum)</t>
  </si>
  <si>
    <t xml:space="preserve">Quantum</t>
  </si>
  <si>
    <t xml:space="preserve">exact</t>
  </si>
  <si>
    <t xml:space="preserve">Z+X+Y+ZZ</t>
  </si>
  <si>
    <t xml:space="preserve">Family</t>
  </si>
  <si>
    <t xml:space="preserve">Approach</t>
  </si>
  <si>
    <t xml:space="preserve">RMSE</t>
  </si>
  <si>
    <t xml:space="preserve">MAE</t>
  </si>
  <si>
    <t xml:space="preserve">R2</t>
  </si>
  <si>
    <t xml:space="preserve">sMAPE</t>
  </si>
  <si>
    <t xml:space="preserve">Max error</t>
  </si>
  <si>
    <t xml:space="preserve">Features</t>
  </si>
  <si>
    <t xml:space="preserve">Parameters</t>
  </si>
  <si>
    <t xml:space="preserve">Lookback</t>
  </si>
  <si>
    <t xml:space="preserve">Train rows</t>
  </si>
  <si>
    <t xml:space="preserve">Test rows</t>
  </si>
  <si>
    <t xml:space="preserve">Best in system</t>
  </si>
  <si>
    <t xml:space="preserve">NG-RC</t>
  </si>
  <si>
    <t xml:space="preserve">reservoir</t>
  </si>
  <si>
    <t xml:space="preserve">explicit delay + polynomial features + ridge</t>
  </si>
  <si>
    <t xml:space="preserve">ELM</t>
  </si>
  <si>
    <t xml:space="preserve">random nonlinear projection + ridge</t>
  </si>
  <si>
    <t xml:space="preserve">quantum</t>
  </si>
  <si>
    <t xml:space="preserve">gate-based quantum reservoir + ridge readout</t>
  </si>
  <si>
    <t xml:space="preserve">ESN</t>
  </si>
  <si>
    <t xml:space="preserve">random recurrent reservoir + ridge readout</t>
  </si>
  <si>
    <t xml:space="preserve">RandomForest</t>
  </si>
  <si>
    <t xml:space="preserve">ml</t>
  </si>
  <si>
    <t xml:space="preserve">tabular regressor on lag windows</t>
  </si>
  <si>
    <t xml:space="preserve">XGBoost</t>
  </si>
  <si>
    <t xml:space="preserve">LightGBM</t>
  </si>
  <si>
    <t xml:space="preserve">HistGradientBoosting</t>
  </si>
  <si>
    <t xml:space="preserve">kNN</t>
  </si>
  <si>
    <t xml:space="preserve">ESN (reservoirpy)</t>
  </si>
  <si>
    <t xml:space="preserve">library ESN cross-check</t>
  </si>
  <si>
    <t xml:space="preserve">Transformer</t>
  </si>
  <si>
    <t xml:space="preserve">dl</t>
  </si>
  <si>
    <t xml:space="preserve">torch sequence network on lag windows</t>
  </si>
  <si>
    <t xml:space="preserve">MLP</t>
  </si>
  <si>
    <t xml:space="preserve">1D-CNN/TCN</t>
  </si>
  <si>
    <t xml:space="preserve">QRC-v6</t>
  </si>
  <si>
    <t xml:space="preserve">SVR</t>
  </si>
  <si>
    <t xml:space="preserve">qNG-RC</t>
  </si>
  <si>
    <t xml:space="preserve">amplitude-encoded NVAR feature map + ridge</t>
  </si>
  <si>
    <t xml:space="preserve">GRU</t>
  </si>
  <si>
    <t xml:space="preserve">QRC-v4</t>
  </si>
  <si>
    <t xml:space="preserve">LSTM</t>
  </si>
  <si>
    <t xml:space="preserve">Linear-Ridge</t>
  </si>
  <si>
    <t xml:space="preserve">linear ridge on lag windows</t>
  </si>
  <si>
    <t xml:space="preserve">ARIMA</t>
  </si>
  <si>
    <t xml:space="preserve">statistical</t>
  </si>
  <si>
    <t xml:space="preserve">AR</t>
  </si>
  <si>
    <t xml:space="preserve">linear autoregression</t>
  </si>
  <si>
    <t xml:space="preserve">ETS</t>
  </si>
  <si>
    <t xml:space="preserve">exponential smoothing</t>
  </si>
  <si>
    <t xml:space="preserve">Naive</t>
  </si>
  <si>
    <t xml:space="preserve">persistence</t>
  </si>
  <si>
    <t xml:space="preserve">Summary — every figure below is a formula over the other sheets</t>
  </si>
  <si>
    <t xml:space="preserve">Pre-specified comparisons in the family</t>
  </si>
  <si>
    <t xml:space="preserve">Quantum vs ELM(F) and quantum vs NG-RC, across systems, sizes and seeds.</t>
  </si>
  <si>
    <t xml:space="preserve">... won by the classical model</t>
  </si>
  <si>
    <t xml:space="preserve">Positive DM statistic means the quantum model carried the larger loss.</t>
  </si>
  <si>
    <t xml:space="preserve">... won by the quantum model</t>
  </si>
  <si>
    <t xml:space="preserve">The single reversal, highlighted coral on the DM sheet.</t>
  </si>
  <si>
    <t xml:space="preserve">Largest raw p-value in the family</t>
  </si>
  <si>
    <t xml:space="preserve">Every comparison in the family is significant; this is the weakest of them.</t>
  </si>
  <si>
    <t xml:space="preserve">Largest Holm-adjusted p-value in the family</t>
  </si>
  <si>
    <t xml:space="preserve">All 214 survive correction for multiple testing.</t>
  </si>
  <si>
    <t xml:space="preserve">Mean NRMSE, quantum (scaling study)</t>
  </si>
  <si>
    <t xml:space="preserve">Mean rather than median: a median over a filtered range needs an array formula, which does not survive being written by a script. The thesis reports medians; these are the means over the same rows.</t>
  </si>
  <si>
    <t xml:space="preserve">Mean NRMSE, classical (scaling study)</t>
  </si>
  <si>
    <t xml:space="preserve">Same basis, classical rows only.</t>
  </si>
  <si>
    <t xml:space="preserve">Best quantum NRMSE / best classical NRMSE</t>
  </si>
  <si>
    <t xml:space="preserve">The single best run of each type, anywhere in the scaling study.</t>
  </si>
  <si>
    <t xml:space="preserve">Best (lowest) NRMSE anywhere in the scaling study</t>
  </si>
  <si>
    <t xml:space="preserve">Across all systems, sizes, models and seeds.</t>
  </si>
  <si>
    <t xml:space="preserve">Measured runs recorded</t>
  </si>
  <si>
    <t xml:space="preserve">One row per model, system, size and seed.</t>
  </si>
</sst>
</file>

<file path=xl/styles.xml><?xml version="1.0" encoding="utf-8"?>
<styleSheet xmlns="http://schemas.openxmlformats.org/spreadsheetml/2006/main">
  <numFmts count="5">
    <numFmt numFmtId="164" formatCode="General"/>
    <numFmt numFmtId="165" formatCode="0.0000"/>
    <numFmt numFmtId="166" formatCode="0.00E+00"/>
    <numFmt numFmtId="167" formatCode="0.000000"/>
    <numFmt numFmtId="168" formatCode="0.000"/>
  </numFmts>
  <fonts count="15">
    <font>
      <sz val="11"/>
      <color theme="1"/>
      <name val="Calibri"/>
      <family val="2"/>
      <charset val="1"/>
    </font>
    <font>
      <sz val="10"/>
      <name val="Arial"/>
      <family val="0"/>
    </font>
    <font>
      <sz val="10"/>
      <name val="Arial"/>
      <family val="0"/>
    </font>
    <font>
      <sz val="10"/>
      <name val="Arial"/>
      <family val="0"/>
    </font>
    <font>
      <b val="true"/>
      <sz val="16"/>
      <color rgb="FF152245"/>
      <name val="Arial"/>
      <family val="0"/>
      <charset val="1"/>
    </font>
    <font>
      <sz val="10"/>
      <color rgb="FF6E7A94"/>
      <name val="Arial"/>
      <family val="0"/>
      <charset val="1"/>
    </font>
    <font>
      <b val="true"/>
      <sz val="10"/>
      <color rgb="FFDB4D3A"/>
      <name val="Arial"/>
      <family val="0"/>
      <charset val="1"/>
    </font>
    <font>
      <b val="true"/>
      <sz val="10"/>
      <color rgb="FF152245"/>
      <name val="Arial"/>
      <family val="0"/>
      <charset val="1"/>
    </font>
    <font>
      <sz val="10"/>
      <color rgb="FF152245"/>
      <name val="Arial"/>
      <family val="0"/>
      <charset val="1"/>
    </font>
    <font>
      <b val="true"/>
      <sz val="10"/>
      <color rgb="FFFFFFFF"/>
      <name val="Arial"/>
      <family val="0"/>
      <charset val="1"/>
    </font>
    <font>
      <sz val="9.5"/>
      <color rgb="FF152245"/>
      <name val="Arial"/>
      <family val="0"/>
      <charset val="1"/>
    </font>
    <font>
      <b val="true"/>
      <sz val="9.5"/>
      <color rgb="FF152245"/>
      <name val="Arial"/>
      <family val="0"/>
      <charset val="1"/>
    </font>
    <font>
      <b val="true"/>
      <sz val="9.5"/>
      <color rgb="FF0A9B75"/>
      <name val="Arial"/>
      <family val="0"/>
      <charset val="1"/>
    </font>
    <font>
      <b val="true"/>
      <sz val="13"/>
      <color rgb="FF152245"/>
      <name val="Arial"/>
      <family val="0"/>
      <charset val="1"/>
    </font>
    <font>
      <sz val="9"/>
      <color rgb="FF6E7A94"/>
      <name val="Arial"/>
      <family val="0"/>
      <charset val="1"/>
    </font>
  </fonts>
  <fills count="8">
    <fill>
      <patternFill patternType="none"/>
    </fill>
    <fill>
      <patternFill patternType="gray125"/>
    </fill>
    <fill>
      <patternFill patternType="solid">
        <fgColor rgb="FFDCE9F7"/>
        <bgColor rgb="FFEDEFF2"/>
      </patternFill>
    </fill>
    <fill>
      <patternFill patternType="solid">
        <fgColor rgb="FFEDEFF2"/>
        <bgColor rgb="FFF4F7FB"/>
      </patternFill>
    </fill>
    <fill>
      <patternFill patternType="solid">
        <fgColor rgb="FFFFE699"/>
        <bgColor rgb="FFF8CBC0"/>
      </patternFill>
    </fill>
    <fill>
      <patternFill patternType="solid">
        <fgColor rgb="FFF8CBC0"/>
        <bgColor rgb="FFFFE699"/>
      </patternFill>
    </fill>
    <fill>
      <patternFill patternType="solid">
        <fgColor rgb="FF152245"/>
        <bgColor rgb="FF333333"/>
      </patternFill>
    </fill>
    <fill>
      <patternFill patternType="solid">
        <fgColor rgb="FFF4F7FB"/>
        <bgColor rgb="FFEDEFF2"/>
      </patternFill>
    </fill>
  </fills>
  <borders count="2">
    <border diagonalUp="false" diagonalDown="false">
      <left/>
      <right/>
      <top/>
      <bottom/>
      <diagonal/>
    </border>
    <border diagonalUp="false" diagonalDown="false">
      <left style="thin">
        <color rgb="FFD5DCEA"/>
      </left>
      <right style="thin">
        <color rgb="FFD5DCEA"/>
      </right>
      <top style="thin">
        <color rgb="FFD5DCEA"/>
      </top>
      <bottom style="thin">
        <color rgb="FFD5DC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false" applyProtection="false">
      <alignment horizontal="general"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6" fontId="7" fillId="7" borderId="1" xfId="0" applyFont="true" applyBorder="true" applyAlignment="true" applyProtection="false">
      <alignment horizontal="center" vertical="bottom" textRotation="0" wrapText="false" indent="0" shrinkToFit="false"/>
      <protection locked="true" hidden="false"/>
    </xf>
    <xf numFmtId="167" fontId="7" fillId="7"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52245"/>
          <bgColor rgb="FF000000"/>
        </patternFill>
      </fill>
    </dxf>
    <dxf>
      <fill>
        <patternFill patternType="solid">
          <fgColor rgb="FFDCE9F7"/>
          <bgColor rgb="FF000000"/>
        </patternFill>
      </fill>
    </dxf>
    <dxf>
      <fill>
        <patternFill patternType="solid">
          <fgColor rgb="FFEDEFF2"/>
          <bgColor rgb="FF000000"/>
        </patternFill>
      </fill>
    </dxf>
    <dxf>
      <fill>
        <patternFill patternType="solid">
          <fgColor rgb="FFF8CBC0"/>
          <bgColor rgb="FF000000"/>
        </patternFill>
      </fill>
    </dxf>
    <dxf>
      <fill>
        <patternFill patternType="solid">
          <fgColor rgb="FFFFFFFF"/>
          <bgColor rgb="FF000000"/>
        </patternFill>
      </fill>
    </dxf>
    <dxf>
      <fill>
        <patternFill patternType="solid">
          <bgColor rgb="FF000000"/>
        </patternFill>
      </fill>
    </dxf>
    <dxf>
      <fill>
        <patternFill patternType="solid">
          <fgColor rgb="FFFFE699"/>
          <bgColor rgb="FF000000"/>
        </patternFill>
      </fill>
    </dxf>
    <dxf>
      <fill>
        <patternFill patternType="solid">
          <fgColor rgb="FF0A9B75"/>
          <bgColor rgb="FF000000"/>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A9B75"/>
      <rgbColor rgb="FFC0C0C0"/>
      <rgbColor rgb="FF6E7A94"/>
      <rgbColor rgb="FF9999FF"/>
      <rgbColor rgb="FF993366"/>
      <rgbColor rgb="FFF4F7FB"/>
      <rgbColor rgb="FFDCE9F7"/>
      <rgbColor rgb="FF660066"/>
      <rgbColor rgb="FFFF8080"/>
      <rgbColor rgb="FF0066CC"/>
      <rgbColor rgb="FFD5DCEA"/>
      <rgbColor rgb="FF000080"/>
      <rgbColor rgb="FFFF00FF"/>
      <rgbColor rgb="FFFFFF00"/>
      <rgbColor rgb="FF00FFFF"/>
      <rgbColor rgb="FF800080"/>
      <rgbColor rgb="FF800000"/>
      <rgbColor rgb="FF008080"/>
      <rgbColor rgb="FF0000FF"/>
      <rgbColor rgb="FF00CCFF"/>
      <rgbColor rgb="FFEDEFF2"/>
      <rgbColor rgb="FFCCFFCC"/>
      <rgbColor rgb="FFFFE699"/>
      <rgbColor rgb="FF99CCFF"/>
      <rgbColor rgb="FFFF99CC"/>
      <rgbColor rgb="FFCC99FF"/>
      <rgbColor rgb="FFF8CBC0"/>
      <rgbColor rgb="FF3366FF"/>
      <rgbColor rgb="FF33CCCC"/>
      <rgbColor rgb="FF99CC00"/>
      <rgbColor rgb="FFFFCC00"/>
      <rgbColor rgb="FFFF9900"/>
      <rgbColor rgb="FFDB4D3A"/>
      <rgbColor rgb="FF666699"/>
      <rgbColor rgb="FF969696"/>
      <rgbColor rgb="FF15224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s>
  <sheetData>
    <row r="2" customFormat="false" ht="19.7"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25.5" hidden="false" customHeight="true" outlineLevel="0" collapsed="false">
      <c r="B7" s="4" t="s">
        <v>3</v>
      </c>
      <c r="C7" s="5" t="s">
        <v>4</v>
      </c>
    </row>
    <row r="8" customFormat="false" ht="117" hidden="false" customHeight="true" outlineLevel="0" collapsed="false">
      <c r="B8" s="4" t="s">
        <v>5</v>
      </c>
      <c r="C8" s="5" t="s">
        <v>6</v>
      </c>
    </row>
    <row r="9" customFormat="false" ht="25.5" hidden="false" customHeight="true" outlineLevel="0" collapsed="false">
      <c r="B9" s="4" t="s">
        <v>7</v>
      </c>
      <c r="C9" s="5" t="s">
        <v>8</v>
      </c>
    </row>
    <row r="10" customFormat="false" ht="25.5" hidden="false" customHeight="true" outlineLevel="0" collapsed="false">
      <c r="B10" s="4" t="s">
        <v>9</v>
      </c>
      <c r="C10" s="5" t="s">
        <v>10</v>
      </c>
    </row>
    <row r="11" customFormat="false" ht="15" hidden="false" customHeight="true" outlineLevel="0" collapsed="false">
      <c r="B11" s="4" t="s">
        <v>11</v>
      </c>
      <c r="C11" s="5" t="s">
        <v>12</v>
      </c>
    </row>
    <row r="13" customFormat="false" ht="15" hidden="false" customHeight="false" outlineLevel="0" collapsed="false">
      <c r="B13" s="3" t="s">
        <v>13</v>
      </c>
    </row>
    <row r="14" customFormat="false" ht="15" hidden="false" customHeight="true" outlineLevel="0" collapsed="false">
      <c r="B14" s="4" t="s">
        <v>14</v>
      </c>
      <c r="C14" s="5" t="s">
        <v>15</v>
      </c>
    </row>
    <row r="15" customFormat="false" ht="15" hidden="false" customHeight="true" outlineLevel="0" collapsed="false">
      <c r="B15" s="4" t="s">
        <v>16</v>
      </c>
      <c r="C15" s="5" t="s">
        <v>17</v>
      </c>
    </row>
    <row r="16" customFormat="false" ht="25.5" hidden="false" customHeight="true" outlineLevel="0" collapsed="false">
      <c r="B16" s="4" t="s">
        <v>18</v>
      </c>
      <c r="C16" s="5" t="s">
        <v>19</v>
      </c>
    </row>
    <row r="17" customFormat="false" ht="25.5" hidden="false" customHeight="true" outlineLevel="0" collapsed="false">
      <c r="B17" s="4" t="s">
        <v>20</v>
      </c>
      <c r="C17" s="5" t="s">
        <v>21</v>
      </c>
    </row>
    <row r="18" customFormat="false" ht="15" hidden="false" customHeight="false" outlineLevel="0" collapsed="false">
      <c r="B18" s="6"/>
    </row>
    <row r="19" customFormat="false" ht="15" hidden="false" customHeight="false" outlineLevel="0" collapsed="false">
      <c r="B19" s="7" t="s">
        <v>22</v>
      </c>
    </row>
    <row r="20" customFormat="false" ht="39" hidden="false" customHeight="true" outlineLevel="0" collapsed="false">
      <c r="B20" s="8" t="s">
        <v>23</v>
      </c>
      <c r="C20" s="5" t="s">
        <v>24</v>
      </c>
    </row>
    <row r="21" customFormat="false" ht="25.5" hidden="false" customHeight="true" outlineLevel="0" collapsed="false">
      <c r="B21" s="9" t="s">
        <v>25</v>
      </c>
      <c r="C21" s="5" t="s">
        <v>26</v>
      </c>
    </row>
    <row r="22" customFormat="false" ht="39" hidden="false" customHeight="true" outlineLevel="0" collapsed="false">
      <c r="B22" s="4" t="s">
        <v>27</v>
      </c>
      <c r="C22" s="5" t="s">
        <v>28</v>
      </c>
    </row>
    <row r="24" customFormat="false" ht="15" hidden="false" customHeight="false" outlineLevel="0" collapsed="false">
      <c r="B24" s="3" t="s">
        <v>29</v>
      </c>
    </row>
    <row r="25" customFormat="false" ht="25.5" hidden="false" customHeight="true" outlineLevel="0" collapsed="false">
      <c r="B25" s="4" t="s">
        <v>30</v>
      </c>
      <c r="C25" s="5" t="s">
        <v>31</v>
      </c>
    </row>
    <row r="26" customFormat="false" ht="39" hidden="false" customHeight="true" outlineLevel="0" collapsed="false">
      <c r="B26" s="4" t="s">
        <v>32</v>
      </c>
      <c r="C26" s="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3"/>
    <col collapsed="false" customWidth="true" hidden="false" outlineLevel="0" max="4" min="4" style="0" width="34"/>
    <col collapsed="false" customWidth="true" hidden="false" outlineLevel="0" max="5" min="5" style="0" width="13"/>
    <col collapsed="false" customWidth="true" hidden="false" outlineLevel="0" max="6" min="6" style="0" width="7"/>
    <col collapsed="false" customWidth="true" hidden="false" outlineLevel="0" max="8" min="7" style="0" width="13"/>
    <col collapsed="false" customWidth="true" hidden="false" outlineLevel="0" max="9" min="9" style="0" width="15"/>
    <col collapsed="false" customWidth="true" hidden="false" outlineLevel="0" max="10" min="10" style="0" width="13"/>
    <col collapsed="false" customWidth="true" hidden="false" outlineLevel="0" max="11" min="11" style="0" width="11"/>
    <col collapsed="false" customWidth="true" hidden="false" outlineLevel="0" max="12" min="12" style="0" width="46"/>
  </cols>
  <sheetData>
    <row r="1" customFormat="false" ht="30" hidden="false" customHeight="true" outlineLevel="0" collapsed="false">
      <c r="A1" s="10" t="s">
        <v>34</v>
      </c>
      <c r="B1" s="10" t="s">
        <v>35</v>
      </c>
      <c r="C1" s="10" t="s">
        <v>36</v>
      </c>
      <c r="D1" s="10" t="s">
        <v>37</v>
      </c>
      <c r="E1" s="10" t="s">
        <v>38</v>
      </c>
      <c r="F1" s="10" t="s">
        <v>39</v>
      </c>
      <c r="G1" s="10" t="s">
        <v>25</v>
      </c>
      <c r="H1" s="10" t="s">
        <v>40</v>
      </c>
      <c r="I1" s="10" t="s">
        <v>41</v>
      </c>
      <c r="J1" s="10" t="s">
        <v>42</v>
      </c>
      <c r="K1" s="10" t="s">
        <v>43</v>
      </c>
      <c r="L1" s="10" t="s">
        <v>44</v>
      </c>
    </row>
    <row r="2" customFormat="false" ht="15" hidden="false" customHeight="false" outlineLevel="0" collapsed="false">
      <c r="A2" s="11" t="s">
        <v>45</v>
      </c>
      <c r="B2" s="12" t="n">
        <v>4</v>
      </c>
      <c r="C2" s="11" t="s">
        <v>46</v>
      </c>
      <c r="D2" s="12" t="s">
        <v>47</v>
      </c>
      <c r="E2" s="11" t="s">
        <v>48</v>
      </c>
      <c r="F2" s="12" t="n">
        <v>0</v>
      </c>
      <c r="G2" s="13" t="n">
        <v>-4.0866588416902</v>
      </c>
      <c r="H2" s="14" t="n">
        <v>5.63222707421025E-005</v>
      </c>
      <c r="I2" s="14" t="n">
        <v>9.7202312571131E-005</v>
      </c>
      <c r="J2" s="15" t="str">
        <f aca="false">IF(G2&lt;0,"QUANTUM","Classical")</f>
        <v>QUANTUM</v>
      </c>
      <c r="K2" s="12" t="str">
        <f aca="false">IF(H2&lt;0.05,"yes","no")</f>
        <v>yes</v>
      </c>
      <c r="L2" s="12" t="s">
        <v>49</v>
      </c>
    </row>
    <row r="3" customFormat="false" ht="15" hidden="false" customHeight="false" outlineLevel="0" collapsed="false">
      <c r="A3" s="16" t="s">
        <v>45</v>
      </c>
      <c r="B3" s="17" t="n">
        <v>4</v>
      </c>
      <c r="C3" s="16" t="s">
        <v>46</v>
      </c>
      <c r="D3" s="17" t="s">
        <v>47</v>
      </c>
      <c r="E3" s="16" t="s">
        <v>48</v>
      </c>
      <c r="F3" s="17" t="n">
        <v>1</v>
      </c>
      <c r="G3" s="18" t="n">
        <v>9.68492585205268</v>
      </c>
      <c r="H3" s="19" t="n">
        <v>1.82981117206159E-019</v>
      </c>
      <c r="I3" s="19" t="n">
        <v>1.88470550722343E-017</v>
      </c>
      <c r="J3" s="20" t="str">
        <f aca="false">IF(G3&lt;0,"QUANTUM","Classical")</f>
        <v>Classical</v>
      </c>
      <c r="K3" s="21" t="str">
        <f aca="false">IF(H3&lt;0.05,"yes","no")</f>
        <v>yes</v>
      </c>
      <c r="L3" s="21"/>
    </row>
    <row r="4" customFormat="false" ht="15" hidden="false" customHeight="false" outlineLevel="0" collapsed="false">
      <c r="A4" s="16" t="s">
        <v>45</v>
      </c>
      <c r="B4" s="17" t="n">
        <v>4</v>
      </c>
      <c r="C4" s="16" t="s">
        <v>46</v>
      </c>
      <c r="D4" s="17" t="s">
        <v>47</v>
      </c>
      <c r="E4" s="16" t="s">
        <v>48</v>
      </c>
      <c r="F4" s="17" t="n">
        <v>2</v>
      </c>
      <c r="G4" s="18" t="n">
        <v>5.32656258576062</v>
      </c>
      <c r="H4" s="19" t="n">
        <v>1.97587355696986E-007</v>
      </c>
      <c r="I4" s="19" t="n">
        <v>2.76622297975781E-006</v>
      </c>
      <c r="J4" s="20" t="str">
        <f aca="false">IF(G4&lt;0,"QUANTUM","Classical")</f>
        <v>Classical</v>
      </c>
      <c r="K4" s="21" t="str">
        <f aca="false">IF(H4&lt;0.05,"yes","no")</f>
        <v>yes</v>
      </c>
      <c r="L4" s="21"/>
    </row>
    <row r="5" customFormat="false" ht="15" hidden="false" customHeight="false" outlineLevel="0" collapsed="false">
      <c r="A5" s="16" t="s">
        <v>45</v>
      </c>
      <c r="B5" s="17" t="n">
        <v>4</v>
      </c>
      <c r="C5" s="16" t="s">
        <v>46</v>
      </c>
      <c r="D5" s="17" t="s">
        <v>47</v>
      </c>
      <c r="E5" s="16" t="s">
        <v>48</v>
      </c>
      <c r="F5" s="17" t="n">
        <v>3</v>
      </c>
      <c r="G5" s="18" t="n">
        <v>7.05973650470742</v>
      </c>
      <c r="H5" s="19" t="n">
        <v>1.17706739994742E-011</v>
      </c>
      <c r="I5" s="19" t="n">
        <v>4.47285611980019E-010</v>
      </c>
      <c r="J5" s="20" t="str">
        <f aca="false">IF(G5&lt;0,"QUANTUM","Classical")</f>
        <v>Classical</v>
      </c>
      <c r="K5" s="21" t="str">
        <f aca="false">IF(H5&lt;0.05,"yes","no")</f>
        <v>yes</v>
      </c>
      <c r="L5" s="21"/>
    </row>
    <row r="6" customFormat="false" ht="15" hidden="false" customHeight="false" outlineLevel="0" collapsed="false">
      <c r="A6" s="16" t="s">
        <v>45</v>
      </c>
      <c r="B6" s="17" t="n">
        <v>4</v>
      </c>
      <c r="C6" s="16" t="s">
        <v>46</v>
      </c>
      <c r="D6" s="17" t="s">
        <v>47</v>
      </c>
      <c r="E6" s="16" t="s">
        <v>48</v>
      </c>
      <c r="F6" s="17" t="n">
        <v>4</v>
      </c>
      <c r="G6" s="18" t="n">
        <v>11.596787125323</v>
      </c>
      <c r="H6" s="19" t="n">
        <v>6.50775326822502E-026</v>
      </c>
      <c r="I6" s="19" t="n">
        <v>1.09981030233003E-023</v>
      </c>
      <c r="J6" s="20" t="str">
        <f aca="false">IF(G6&lt;0,"QUANTUM","Classical")</f>
        <v>Classical</v>
      </c>
      <c r="K6" s="21" t="str">
        <f aca="false">IF(H6&lt;0.05,"yes","no")</f>
        <v>yes</v>
      </c>
      <c r="L6" s="21"/>
    </row>
    <row r="7" customFormat="false" ht="15" hidden="false" customHeight="false" outlineLevel="0" collapsed="false">
      <c r="A7" s="16" t="s">
        <v>45</v>
      </c>
      <c r="B7" s="17" t="n">
        <v>4</v>
      </c>
      <c r="C7" s="16" t="s">
        <v>46</v>
      </c>
      <c r="D7" s="17" t="s">
        <v>47</v>
      </c>
      <c r="E7" s="16" t="s">
        <v>48</v>
      </c>
      <c r="F7" s="17" t="n">
        <v>5</v>
      </c>
      <c r="G7" s="18" t="n">
        <v>10.3198419338311</v>
      </c>
      <c r="H7" s="19" t="n">
        <v>1.50589010244909E-021</v>
      </c>
      <c r="I7" s="19" t="n">
        <v>2.07812834137975E-019</v>
      </c>
      <c r="J7" s="20" t="str">
        <f aca="false">IF(G7&lt;0,"QUANTUM","Classical")</f>
        <v>Classical</v>
      </c>
      <c r="K7" s="21" t="str">
        <f aca="false">IF(H7&lt;0.05,"yes","no")</f>
        <v>yes</v>
      </c>
      <c r="L7" s="21"/>
    </row>
    <row r="8" customFormat="false" ht="15" hidden="false" customHeight="false" outlineLevel="0" collapsed="false">
      <c r="A8" s="16" t="s">
        <v>45</v>
      </c>
      <c r="B8" s="17" t="n">
        <v>4</v>
      </c>
      <c r="C8" s="16" t="s">
        <v>46</v>
      </c>
      <c r="D8" s="17" t="s">
        <v>47</v>
      </c>
      <c r="E8" s="16" t="s">
        <v>48</v>
      </c>
      <c r="F8" s="17" t="n">
        <v>6</v>
      </c>
      <c r="G8" s="18" t="n">
        <v>8.60273524720984</v>
      </c>
      <c r="H8" s="19" t="n">
        <v>4.52437104571188E-016</v>
      </c>
      <c r="I8" s="19" t="n">
        <v>2.94084117971272E-014</v>
      </c>
      <c r="J8" s="20" t="str">
        <f aca="false">IF(G8&lt;0,"QUANTUM","Classical")</f>
        <v>Classical</v>
      </c>
      <c r="K8" s="21" t="str">
        <f aca="false">IF(H8&lt;0.05,"yes","no")</f>
        <v>yes</v>
      </c>
      <c r="L8" s="21"/>
    </row>
    <row r="9" customFormat="false" ht="15" hidden="false" customHeight="false" outlineLevel="0" collapsed="false">
      <c r="A9" s="16" t="s">
        <v>45</v>
      </c>
      <c r="B9" s="17" t="n">
        <v>4</v>
      </c>
      <c r="C9" s="16" t="s">
        <v>46</v>
      </c>
      <c r="D9" s="17" t="s">
        <v>47</v>
      </c>
      <c r="E9" s="16" t="s">
        <v>48</v>
      </c>
      <c r="F9" s="17" t="n">
        <v>7</v>
      </c>
      <c r="G9" s="18" t="n">
        <v>9.94533992199558</v>
      </c>
      <c r="H9" s="19" t="n">
        <v>2.60063919651484E-020</v>
      </c>
      <c r="I9" s="19" t="n">
        <v>3.14677342778295E-018</v>
      </c>
      <c r="J9" s="20" t="str">
        <f aca="false">IF(G9&lt;0,"QUANTUM","Classical")</f>
        <v>Classical</v>
      </c>
      <c r="K9" s="21" t="str">
        <f aca="false">IF(H9&lt;0.05,"yes","no")</f>
        <v>yes</v>
      </c>
      <c r="L9" s="21"/>
    </row>
    <row r="10" customFormat="false" ht="15" hidden="false" customHeight="false" outlineLevel="0" collapsed="false">
      <c r="A10" s="16" t="s">
        <v>45</v>
      </c>
      <c r="B10" s="17" t="n">
        <v>4</v>
      </c>
      <c r="C10" s="16" t="s">
        <v>46</v>
      </c>
      <c r="D10" s="17" t="s">
        <v>47</v>
      </c>
      <c r="E10" s="16" t="s">
        <v>48</v>
      </c>
      <c r="F10" s="17" t="n">
        <v>8</v>
      </c>
      <c r="G10" s="18" t="n">
        <v>11.0283363189339</v>
      </c>
      <c r="H10" s="19" t="n">
        <v>6.05221908654688E-024</v>
      </c>
      <c r="I10" s="19" t="n">
        <v>9.32041739328219E-022</v>
      </c>
      <c r="J10" s="20" t="str">
        <f aca="false">IF(G10&lt;0,"QUANTUM","Classical")</f>
        <v>Classical</v>
      </c>
      <c r="K10" s="21" t="str">
        <f aca="false">IF(H10&lt;0.05,"yes","no")</f>
        <v>yes</v>
      </c>
      <c r="L10" s="21"/>
    </row>
    <row r="11" customFormat="false" ht="15" hidden="false" customHeight="false" outlineLevel="0" collapsed="false">
      <c r="A11" s="16" t="s">
        <v>45</v>
      </c>
      <c r="B11" s="17" t="n">
        <v>4</v>
      </c>
      <c r="C11" s="16" t="s">
        <v>46</v>
      </c>
      <c r="D11" s="17" t="s">
        <v>47</v>
      </c>
      <c r="E11" s="16" t="s">
        <v>48</v>
      </c>
      <c r="F11" s="17" t="n">
        <v>9</v>
      </c>
      <c r="G11" s="18" t="n">
        <v>4.12268292477049</v>
      </c>
      <c r="H11" s="19" t="n">
        <v>4.86011562855655E-005</v>
      </c>
      <c r="I11" s="19" t="n">
        <v>9.7202312571131E-005</v>
      </c>
      <c r="J11" s="20" t="str">
        <f aca="false">IF(G11&lt;0,"QUANTUM","Classical")</f>
        <v>Classical</v>
      </c>
      <c r="K11" s="21" t="str">
        <f aca="false">IF(H11&lt;0.05,"yes","no")</f>
        <v>yes</v>
      </c>
      <c r="L11" s="21"/>
    </row>
    <row r="12" customFormat="false" ht="15" hidden="false" customHeight="false" outlineLevel="0" collapsed="false">
      <c r="A12" s="16" t="s">
        <v>45</v>
      </c>
      <c r="B12" s="17" t="n">
        <v>6</v>
      </c>
      <c r="C12" s="16" t="s">
        <v>46</v>
      </c>
      <c r="D12" s="17" t="s">
        <v>47</v>
      </c>
      <c r="E12" s="16" t="s">
        <v>48</v>
      </c>
      <c r="F12" s="17" t="n">
        <v>0</v>
      </c>
      <c r="G12" s="18" t="n">
        <v>12.3694991001871</v>
      </c>
      <c r="H12" s="19" t="n">
        <v>1.20698597964938E-028</v>
      </c>
      <c r="I12" s="19" t="n">
        <v>2.23292406235136E-026</v>
      </c>
      <c r="J12" s="20" t="str">
        <f aca="false">IF(G12&lt;0,"QUANTUM","Classical")</f>
        <v>Classical</v>
      </c>
      <c r="K12" s="21" t="str">
        <f aca="false">IF(H12&lt;0.05,"yes","no")</f>
        <v>yes</v>
      </c>
      <c r="L12" s="21"/>
    </row>
    <row r="13" customFormat="false" ht="15" hidden="false" customHeight="false" outlineLevel="0" collapsed="false">
      <c r="A13" s="16" t="s">
        <v>45</v>
      </c>
      <c r="B13" s="17" t="n">
        <v>6</v>
      </c>
      <c r="C13" s="16" t="s">
        <v>46</v>
      </c>
      <c r="D13" s="17" t="s">
        <v>47</v>
      </c>
      <c r="E13" s="16" t="s">
        <v>48</v>
      </c>
      <c r="F13" s="17" t="n">
        <v>1</v>
      </c>
      <c r="G13" s="18" t="n">
        <v>12.6140854474616</v>
      </c>
      <c r="H13" s="19" t="n">
        <v>1.6045771151193E-029</v>
      </c>
      <c r="I13" s="19" t="n">
        <v>3.04869651872666E-027</v>
      </c>
      <c r="J13" s="20" t="str">
        <f aca="false">IF(G13&lt;0,"QUANTUM","Classical")</f>
        <v>Classical</v>
      </c>
      <c r="K13" s="21" t="str">
        <f aca="false">IF(H13&lt;0.05,"yes","no")</f>
        <v>yes</v>
      </c>
      <c r="L13" s="21"/>
    </row>
    <row r="14" customFormat="false" ht="15" hidden="false" customHeight="false" outlineLevel="0" collapsed="false">
      <c r="A14" s="16" t="s">
        <v>45</v>
      </c>
      <c r="B14" s="17" t="n">
        <v>6</v>
      </c>
      <c r="C14" s="16" t="s">
        <v>46</v>
      </c>
      <c r="D14" s="17" t="s">
        <v>47</v>
      </c>
      <c r="E14" s="16" t="s">
        <v>48</v>
      </c>
      <c r="F14" s="17" t="n">
        <v>2</v>
      </c>
      <c r="G14" s="18" t="n">
        <v>11.8702850924314</v>
      </c>
      <c r="H14" s="19" t="n">
        <v>7.13496991988965E-027</v>
      </c>
      <c r="I14" s="19" t="n">
        <v>1.2414847660608E-024</v>
      </c>
      <c r="J14" s="20" t="str">
        <f aca="false">IF(G14&lt;0,"QUANTUM","Classical")</f>
        <v>Classical</v>
      </c>
      <c r="K14" s="21" t="str">
        <f aca="false">IF(H14&lt;0.05,"yes","no")</f>
        <v>yes</v>
      </c>
      <c r="L14" s="21"/>
    </row>
    <row r="15" customFormat="false" ht="15" hidden="false" customHeight="false" outlineLevel="0" collapsed="false">
      <c r="A15" s="16" t="s">
        <v>45</v>
      </c>
      <c r="B15" s="17" t="n">
        <v>6</v>
      </c>
      <c r="C15" s="16" t="s">
        <v>46</v>
      </c>
      <c r="D15" s="17" t="s">
        <v>47</v>
      </c>
      <c r="E15" s="16" t="s">
        <v>48</v>
      </c>
      <c r="F15" s="17" t="n">
        <v>3</v>
      </c>
      <c r="G15" s="18" t="n">
        <v>12.0735610265235</v>
      </c>
      <c r="H15" s="19" t="n">
        <v>1.36415354972057E-027</v>
      </c>
      <c r="I15" s="19" t="n">
        <v>2.45547638949703E-025</v>
      </c>
      <c r="J15" s="20" t="str">
        <f aca="false">IF(G15&lt;0,"QUANTUM","Classical")</f>
        <v>Classical</v>
      </c>
      <c r="K15" s="21" t="str">
        <f aca="false">IF(H15&lt;0.05,"yes","no")</f>
        <v>yes</v>
      </c>
      <c r="L15" s="21"/>
    </row>
    <row r="16" customFormat="false" ht="15" hidden="false" customHeight="false" outlineLevel="0" collapsed="false">
      <c r="A16" s="16" t="s">
        <v>45</v>
      </c>
      <c r="B16" s="17" t="n">
        <v>6</v>
      </c>
      <c r="C16" s="16" t="s">
        <v>46</v>
      </c>
      <c r="D16" s="17" t="s">
        <v>47</v>
      </c>
      <c r="E16" s="16" t="s">
        <v>48</v>
      </c>
      <c r="F16" s="17" t="n">
        <v>4</v>
      </c>
      <c r="G16" s="18" t="n">
        <v>12.4670361015659</v>
      </c>
      <c r="H16" s="19" t="n">
        <v>5.40568637520199E-029</v>
      </c>
      <c r="I16" s="19" t="n">
        <v>1.01626903853797E-026</v>
      </c>
      <c r="J16" s="20" t="str">
        <f aca="false">IF(G16&lt;0,"QUANTUM","Classical")</f>
        <v>Classical</v>
      </c>
      <c r="K16" s="21" t="str">
        <f aca="false">IF(H16&lt;0.05,"yes","no")</f>
        <v>yes</v>
      </c>
      <c r="L16" s="21"/>
    </row>
    <row r="17" customFormat="false" ht="15" hidden="false" customHeight="false" outlineLevel="0" collapsed="false">
      <c r="A17" s="16" t="s">
        <v>45</v>
      </c>
      <c r="B17" s="17" t="n">
        <v>6</v>
      </c>
      <c r="C17" s="16" t="s">
        <v>46</v>
      </c>
      <c r="D17" s="17" t="s">
        <v>47</v>
      </c>
      <c r="E17" s="16" t="s">
        <v>48</v>
      </c>
      <c r="F17" s="17" t="n">
        <v>5</v>
      </c>
      <c r="G17" s="18" t="n">
        <v>12.2440257928003</v>
      </c>
      <c r="H17" s="19" t="n">
        <v>3.38235538981327E-028</v>
      </c>
      <c r="I17" s="19" t="n">
        <v>6.18971036335828E-026</v>
      </c>
      <c r="J17" s="20" t="str">
        <f aca="false">IF(G17&lt;0,"QUANTUM","Classical")</f>
        <v>Classical</v>
      </c>
      <c r="K17" s="21" t="str">
        <f aca="false">IF(H17&lt;0.05,"yes","no")</f>
        <v>yes</v>
      </c>
      <c r="L17" s="21"/>
    </row>
    <row r="18" customFormat="false" ht="15" hidden="false" customHeight="false" outlineLevel="0" collapsed="false">
      <c r="A18" s="16" t="s">
        <v>45</v>
      </c>
      <c r="B18" s="17" t="n">
        <v>6</v>
      </c>
      <c r="C18" s="16" t="s">
        <v>46</v>
      </c>
      <c r="D18" s="17" t="s">
        <v>47</v>
      </c>
      <c r="E18" s="16" t="s">
        <v>48</v>
      </c>
      <c r="F18" s="17" t="n">
        <v>6</v>
      </c>
      <c r="G18" s="18" t="n">
        <v>12.8560332634771</v>
      </c>
      <c r="H18" s="19" t="n">
        <v>2.15565607001689E-030</v>
      </c>
      <c r="I18" s="19" t="n">
        <v>4.28975557933361E-028</v>
      </c>
      <c r="J18" s="20" t="str">
        <f aca="false">IF(G18&lt;0,"QUANTUM","Classical")</f>
        <v>Classical</v>
      </c>
      <c r="K18" s="21" t="str">
        <f aca="false">IF(H18&lt;0.05,"yes","no")</f>
        <v>yes</v>
      </c>
      <c r="L18" s="21"/>
    </row>
    <row r="19" customFormat="false" ht="15" hidden="false" customHeight="false" outlineLevel="0" collapsed="false">
      <c r="A19" s="16" t="s">
        <v>45</v>
      </c>
      <c r="B19" s="17" t="n">
        <v>6</v>
      </c>
      <c r="C19" s="16" t="s">
        <v>46</v>
      </c>
      <c r="D19" s="17" t="s">
        <v>47</v>
      </c>
      <c r="E19" s="16" t="s">
        <v>48</v>
      </c>
      <c r="F19" s="17" t="n">
        <v>7</v>
      </c>
      <c r="G19" s="18" t="n">
        <v>11.3366826367186</v>
      </c>
      <c r="H19" s="19" t="n">
        <v>5.2342314813589E-025</v>
      </c>
      <c r="I19" s="19" t="n">
        <v>8.47945499980142E-023</v>
      </c>
      <c r="J19" s="20" t="str">
        <f aca="false">IF(G19&lt;0,"QUANTUM","Classical")</f>
        <v>Classical</v>
      </c>
      <c r="K19" s="21" t="str">
        <f aca="false">IF(H19&lt;0.05,"yes","no")</f>
        <v>yes</v>
      </c>
      <c r="L19" s="21"/>
    </row>
    <row r="20" customFormat="false" ht="15" hidden="false" customHeight="false" outlineLevel="0" collapsed="false">
      <c r="A20" s="16" t="s">
        <v>45</v>
      </c>
      <c r="B20" s="17" t="n">
        <v>6</v>
      </c>
      <c r="C20" s="16" t="s">
        <v>46</v>
      </c>
      <c r="D20" s="17" t="s">
        <v>47</v>
      </c>
      <c r="E20" s="16" t="s">
        <v>48</v>
      </c>
      <c r="F20" s="17" t="n">
        <v>8</v>
      </c>
      <c r="G20" s="18" t="n">
        <v>12.8789431418149</v>
      </c>
      <c r="H20" s="19" t="n">
        <v>1.78152309876265E-030</v>
      </c>
      <c r="I20" s="19" t="n">
        <v>3.5630461975253E-028</v>
      </c>
      <c r="J20" s="20" t="str">
        <f aca="false">IF(G20&lt;0,"QUANTUM","Classical")</f>
        <v>Classical</v>
      </c>
      <c r="K20" s="21" t="str">
        <f aca="false">IF(H20&lt;0.05,"yes","no")</f>
        <v>yes</v>
      </c>
      <c r="L20" s="21"/>
    </row>
    <row r="21" customFormat="false" ht="15" hidden="false" customHeight="false" outlineLevel="0" collapsed="false">
      <c r="A21" s="16" t="s">
        <v>45</v>
      </c>
      <c r="B21" s="17" t="n">
        <v>6</v>
      </c>
      <c r="C21" s="16" t="s">
        <v>46</v>
      </c>
      <c r="D21" s="17" t="s">
        <v>47</v>
      </c>
      <c r="E21" s="16" t="s">
        <v>48</v>
      </c>
      <c r="F21" s="17" t="n">
        <v>9</v>
      </c>
      <c r="G21" s="18" t="n">
        <v>12.080890236146</v>
      </c>
      <c r="H21" s="19" t="n">
        <v>1.28493242866578E-027</v>
      </c>
      <c r="I21" s="19" t="n">
        <v>2.32572769588507E-025</v>
      </c>
      <c r="J21" s="20" t="str">
        <f aca="false">IF(G21&lt;0,"QUANTUM","Classical")</f>
        <v>Classical</v>
      </c>
      <c r="K21" s="21" t="str">
        <f aca="false">IF(H21&lt;0.05,"yes","no")</f>
        <v>yes</v>
      </c>
      <c r="L21" s="21"/>
    </row>
    <row r="22" customFormat="false" ht="15" hidden="false" customHeight="false" outlineLevel="0" collapsed="false">
      <c r="A22" s="16" t="s">
        <v>45</v>
      </c>
      <c r="B22" s="17" t="n">
        <v>8</v>
      </c>
      <c r="C22" s="16" t="s">
        <v>46</v>
      </c>
      <c r="D22" s="17" t="s">
        <v>47</v>
      </c>
      <c r="E22" s="16" t="s">
        <v>48</v>
      </c>
      <c r="F22" s="17" t="n">
        <v>0</v>
      </c>
      <c r="G22" s="18" t="n">
        <v>9.54454479180938</v>
      </c>
      <c r="H22" s="19" t="n">
        <v>1.73140185081405E-018</v>
      </c>
      <c r="I22" s="19" t="n">
        <v>1.52363362871637E-016</v>
      </c>
      <c r="J22" s="20" t="str">
        <f aca="false">IF(G22&lt;0,"QUANTUM","Classical")</f>
        <v>Classical</v>
      </c>
      <c r="K22" s="21" t="str">
        <f aca="false">IF(H22&lt;0.05,"yes","no")</f>
        <v>yes</v>
      </c>
      <c r="L22" s="21"/>
    </row>
    <row r="23" customFormat="false" ht="15" hidden="false" customHeight="false" outlineLevel="0" collapsed="false">
      <c r="A23" s="16" t="s">
        <v>45</v>
      </c>
      <c r="B23" s="17" t="n">
        <v>8</v>
      </c>
      <c r="C23" s="16" t="s">
        <v>46</v>
      </c>
      <c r="D23" s="17" t="s">
        <v>47</v>
      </c>
      <c r="E23" s="16" t="s">
        <v>48</v>
      </c>
      <c r="F23" s="17" t="n">
        <v>1</v>
      </c>
      <c r="G23" s="18" t="n">
        <v>10.3417455533584</v>
      </c>
      <c r="H23" s="19" t="n">
        <v>6.06685545903357E-021</v>
      </c>
      <c r="I23" s="19" t="n">
        <v>8.06891776051465E-019</v>
      </c>
      <c r="J23" s="20" t="str">
        <f aca="false">IF(G23&lt;0,"QUANTUM","Classical")</f>
        <v>Classical</v>
      </c>
      <c r="K23" s="21" t="str">
        <f aca="false">IF(H23&lt;0.05,"yes","no")</f>
        <v>yes</v>
      </c>
      <c r="L23" s="21"/>
    </row>
    <row r="24" customFormat="false" ht="15" hidden="false" customHeight="false" outlineLevel="0" collapsed="false">
      <c r="A24" s="16" t="s">
        <v>45</v>
      </c>
      <c r="B24" s="17" t="n">
        <v>8</v>
      </c>
      <c r="C24" s="16" t="s">
        <v>46</v>
      </c>
      <c r="D24" s="17" t="s">
        <v>47</v>
      </c>
      <c r="E24" s="16" t="s">
        <v>48</v>
      </c>
      <c r="F24" s="17" t="n">
        <v>2</v>
      </c>
      <c r="G24" s="18" t="n">
        <v>9.76168666068705</v>
      </c>
      <c r="H24" s="19" t="n">
        <v>3.77918272866183E-019</v>
      </c>
      <c r="I24" s="19" t="n">
        <v>3.7035990740886E-017</v>
      </c>
      <c r="J24" s="20" t="str">
        <f aca="false">IF(G24&lt;0,"QUANTUM","Classical")</f>
        <v>Classical</v>
      </c>
      <c r="K24" s="21" t="str">
        <f aca="false">IF(H24&lt;0.05,"yes","no")</f>
        <v>yes</v>
      </c>
      <c r="L24" s="21"/>
    </row>
    <row r="25" customFormat="false" ht="15" hidden="false" customHeight="false" outlineLevel="0" collapsed="false">
      <c r="A25" s="16" t="s">
        <v>45</v>
      </c>
      <c r="B25" s="17" t="n">
        <v>8</v>
      </c>
      <c r="C25" s="16" t="s">
        <v>46</v>
      </c>
      <c r="D25" s="17" t="s">
        <v>47</v>
      </c>
      <c r="E25" s="16" t="s">
        <v>48</v>
      </c>
      <c r="F25" s="17" t="n">
        <v>3</v>
      </c>
      <c r="G25" s="18" t="n">
        <v>9.84489915017964</v>
      </c>
      <c r="H25" s="19" t="n">
        <v>2.10123280625472E-019</v>
      </c>
      <c r="I25" s="19" t="n">
        <v>2.14325746237981E-017</v>
      </c>
      <c r="J25" s="20" t="str">
        <f aca="false">IF(G25&lt;0,"QUANTUM","Classical")</f>
        <v>Classical</v>
      </c>
      <c r="K25" s="21" t="str">
        <f aca="false">IF(H25&lt;0.05,"yes","no")</f>
        <v>yes</v>
      </c>
      <c r="L25" s="21"/>
    </row>
    <row r="26" customFormat="false" ht="15" hidden="false" customHeight="false" outlineLevel="0" collapsed="false">
      <c r="A26" s="16" t="s">
        <v>45</v>
      </c>
      <c r="B26" s="17" t="n">
        <v>8</v>
      </c>
      <c r="C26" s="16" t="s">
        <v>46</v>
      </c>
      <c r="D26" s="17" t="s">
        <v>47</v>
      </c>
      <c r="E26" s="16" t="s">
        <v>48</v>
      </c>
      <c r="F26" s="17" t="n">
        <v>4</v>
      </c>
      <c r="G26" s="18" t="n">
        <v>10.0099398385226</v>
      </c>
      <c r="H26" s="19" t="n">
        <v>6.5210908534925E-020</v>
      </c>
      <c r="I26" s="19" t="n">
        <v>7.10798903030682E-018</v>
      </c>
      <c r="J26" s="20" t="str">
        <f aca="false">IF(G26&lt;0,"QUANTUM","Classical")</f>
        <v>Classical</v>
      </c>
      <c r="K26" s="21" t="str">
        <f aca="false">IF(H26&lt;0.05,"yes","no")</f>
        <v>yes</v>
      </c>
      <c r="L26" s="21"/>
    </row>
    <row r="27" customFormat="false" ht="15" hidden="false" customHeight="false" outlineLevel="0" collapsed="false">
      <c r="A27" s="16" t="s">
        <v>45</v>
      </c>
      <c r="B27" s="17" t="n">
        <v>8</v>
      </c>
      <c r="C27" s="16" t="s">
        <v>46</v>
      </c>
      <c r="D27" s="17" t="s">
        <v>47</v>
      </c>
      <c r="E27" s="16" t="s">
        <v>48</v>
      </c>
      <c r="F27" s="17" t="n">
        <v>5</v>
      </c>
      <c r="G27" s="18" t="n">
        <v>9.97300846117515</v>
      </c>
      <c r="H27" s="19" t="n">
        <v>8.47850552150903E-020</v>
      </c>
      <c r="I27" s="19" t="n">
        <v>8.98721585279957E-018</v>
      </c>
      <c r="J27" s="20" t="str">
        <f aca="false">IF(G27&lt;0,"QUANTUM","Classical")</f>
        <v>Classical</v>
      </c>
      <c r="K27" s="21" t="str">
        <f aca="false">IF(H27&lt;0.05,"yes","no")</f>
        <v>yes</v>
      </c>
      <c r="L27" s="21"/>
    </row>
    <row r="28" customFormat="false" ht="15" hidden="false" customHeight="false" outlineLevel="0" collapsed="false">
      <c r="A28" s="16" t="s">
        <v>45</v>
      </c>
      <c r="B28" s="17" t="n">
        <v>8</v>
      </c>
      <c r="C28" s="16" t="s">
        <v>46</v>
      </c>
      <c r="D28" s="17" t="s">
        <v>47</v>
      </c>
      <c r="E28" s="16" t="s">
        <v>48</v>
      </c>
      <c r="F28" s="17" t="n">
        <v>6</v>
      </c>
      <c r="G28" s="18" t="n">
        <v>10.039051942927</v>
      </c>
      <c r="H28" s="19" t="n">
        <v>5.30080979313386E-020</v>
      </c>
      <c r="I28" s="19" t="n">
        <v>5.88389887037858E-018</v>
      </c>
      <c r="J28" s="20" t="str">
        <f aca="false">IF(G28&lt;0,"QUANTUM","Classical")</f>
        <v>Classical</v>
      </c>
      <c r="K28" s="21" t="str">
        <f aca="false">IF(H28&lt;0.05,"yes","no")</f>
        <v>yes</v>
      </c>
      <c r="L28" s="21"/>
    </row>
    <row r="29" customFormat="false" ht="15" hidden="false" customHeight="false" outlineLevel="0" collapsed="false">
      <c r="A29" s="16" t="s">
        <v>45</v>
      </c>
      <c r="B29" s="17" t="n">
        <v>8</v>
      </c>
      <c r="C29" s="16" t="s">
        <v>46</v>
      </c>
      <c r="D29" s="17" t="s">
        <v>47</v>
      </c>
      <c r="E29" s="16" t="s">
        <v>48</v>
      </c>
      <c r="F29" s="17" t="n">
        <v>7</v>
      </c>
      <c r="G29" s="18" t="n">
        <v>9.6214950352598</v>
      </c>
      <c r="H29" s="19" t="n">
        <v>1.01126614172996E-018</v>
      </c>
      <c r="I29" s="19" t="n">
        <v>9.10139527556966E-017</v>
      </c>
      <c r="J29" s="20" t="str">
        <f aca="false">IF(G29&lt;0,"QUANTUM","Classical")</f>
        <v>Classical</v>
      </c>
      <c r="K29" s="21" t="str">
        <f aca="false">IF(H29&lt;0.05,"yes","no")</f>
        <v>yes</v>
      </c>
      <c r="L29" s="21"/>
    </row>
    <row r="30" customFormat="false" ht="15" hidden="false" customHeight="false" outlineLevel="0" collapsed="false">
      <c r="A30" s="16" t="s">
        <v>45</v>
      </c>
      <c r="B30" s="17" t="n">
        <v>8</v>
      </c>
      <c r="C30" s="16" t="s">
        <v>46</v>
      </c>
      <c r="D30" s="17" t="s">
        <v>47</v>
      </c>
      <c r="E30" s="16" t="s">
        <v>48</v>
      </c>
      <c r="F30" s="17" t="n">
        <v>8</v>
      </c>
      <c r="G30" s="18" t="n">
        <v>9.87833281853978</v>
      </c>
      <c r="H30" s="19" t="n">
        <v>1.65883805004409E-019</v>
      </c>
      <c r="I30" s="19" t="n">
        <v>1.72519157204585E-017</v>
      </c>
      <c r="J30" s="20" t="str">
        <f aca="false">IF(G30&lt;0,"QUANTUM","Classical")</f>
        <v>Classical</v>
      </c>
      <c r="K30" s="21" t="str">
        <f aca="false">IF(H30&lt;0.05,"yes","no")</f>
        <v>yes</v>
      </c>
      <c r="L30" s="21"/>
    </row>
    <row r="31" customFormat="false" ht="15" hidden="false" customHeight="false" outlineLevel="0" collapsed="false">
      <c r="A31" s="16" t="s">
        <v>45</v>
      </c>
      <c r="B31" s="17" t="n">
        <v>8</v>
      </c>
      <c r="C31" s="16" t="s">
        <v>46</v>
      </c>
      <c r="D31" s="17" t="s">
        <v>47</v>
      </c>
      <c r="E31" s="16" t="s">
        <v>48</v>
      </c>
      <c r="F31" s="17" t="n">
        <v>9</v>
      </c>
      <c r="G31" s="18" t="n">
        <v>9.77760758270433</v>
      </c>
      <c r="H31" s="19" t="n">
        <v>3.37824909381106E-019</v>
      </c>
      <c r="I31" s="19" t="n">
        <v>3.34446660287295E-017</v>
      </c>
      <c r="J31" s="20" t="str">
        <f aca="false">IF(G31&lt;0,"QUANTUM","Classical")</f>
        <v>Classical</v>
      </c>
      <c r="K31" s="21" t="str">
        <f aca="false">IF(H31&lt;0.05,"yes","no")</f>
        <v>yes</v>
      </c>
      <c r="L31" s="21"/>
    </row>
    <row r="32" customFormat="false" ht="15" hidden="false" customHeight="false" outlineLevel="0" collapsed="false">
      <c r="A32" s="16" t="s">
        <v>45</v>
      </c>
      <c r="B32" s="17" t="n">
        <v>10</v>
      </c>
      <c r="C32" s="16" t="s">
        <v>46</v>
      </c>
      <c r="D32" s="17" t="s">
        <v>47</v>
      </c>
      <c r="E32" s="16" t="s">
        <v>48</v>
      </c>
      <c r="F32" s="17" t="n">
        <v>0</v>
      </c>
      <c r="G32" s="18" t="n">
        <v>5.26022672112874</v>
      </c>
      <c r="H32" s="19" t="n">
        <v>6.51161849859149E-007</v>
      </c>
      <c r="I32" s="19" t="n">
        <v>8.46510404816894E-006</v>
      </c>
      <c r="J32" s="20" t="str">
        <f aca="false">IF(G32&lt;0,"QUANTUM","Classical")</f>
        <v>Classical</v>
      </c>
      <c r="K32" s="21" t="str">
        <f aca="false">IF(H32&lt;0.05,"yes","no")</f>
        <v>yes</v>
      </c>
      <c r="L32" s="21"/>
    </row>
    <row r="33" customFormat="false" ht="15" hidden="false" customHeight="false" outlineLevel="0" collapsed="false">
      <c r="A33" s="16" t="s">
        <v>45</v>
      </c>
      <c r="B33" s="17" t="n">
        <v>10</v>
      </c>
      <c r="C33" s="16" t="s">
        <v>46</v>
      </c>
      <c r="D33" s="17" t="s">
        <v>47</v>
      </c>
      <c r="E33" s="16" t="s">
        <v>48</v>
      </c>
      <c r="F33" s="17" t="n">
        <v>1</v>
      </c>
      <c r="G33" s="18" t="n">
        <v>7.37461135544816</v>
      </c>
      <c r="H33" s="19" t="n">
        <v>2.48681589154351E-011</v>
      </c>
      <c r="I33" s="19" t="n">
        <v>9.20121879871097E-010</v>
      </c>
      <c r="J33" s="20" t="str">
        <f aca="false">IF(G33&lt;0,"QUANTUM","Classical")</f>
        <v>Classical</v>
      </c>
      <c r="K33" s="21" t="str">
        <f aca="false">IF(H33&lt;0.05,"yes","no")</f>
        <v>yes</v>
      </c>
      <c r="L33" s="21"/>
    </row>
    <row r="34" customFormat="false" ht="15" hidden="false" customHeight="false" outlineLevel="0" collapsed="false">
      <c r="A34" s="16" t="s">
        <v>45</v>
      </c>
      <c r="B34" s="17" t="n">
        <v>10</v>
      </c>
      <c r="C34" s="16" t="s">
        <v>46</v>
      </c>
      <c r="D34" s="17" t="s">
        <v>47</v>
      </c>
      <c r="E34" s="16" t="s">
        <v>48</v>
      </c>
      <c r="F34" s="17" t="n">
        <v>2</v>
      </c>
      <c r="G34" s="18" t="n">
        <v>7.12598320504516</v>
      </c>
      <c r="H34" s="19" t="n">
        <v>8.85128527980679E-011</v>
      </c>
      <c r="I34" s="19" t="n">
        <v>2.30133417274976E-009</v>
      </c>
      <c r="J34" s="20" t="str">
        <f aca="false">IF(G34&lt;0,"QUANTUM","Classical")</f>
        <v>Classical</v>
      </c>
      <c r="K34" s="21" t="str">
        <f aca="false">IF(H34&lt;0.05,"yes","no")</f>
        <v>yes</v>
      </c>
      <c r="L34" s="21"/>
    </row>
    <row r="35" customFormat="false" ht="15" hidden="false" customHeight="false" outlineLevel="0" collapsed="false">
      <c r="A35" s="16" t="s">
        <v>45</v>
      </c>
      <c r="B35" s="17" t="n">
        <v>10</v>
      </c>
      <c r="C35" s="16" t="s">
        <v>46</v>
      </c>
      <c r="D35" s="17" t="s">
        <v>47</v>
      </c>
      <c r="E35" s="16" t="s">
        <v>48</v>
      </c>
      <c r="F35" s="17" t="n">
        <v>3</v>
      </c>
      <c r="G35" s="18" t="n">
        <v>7.09864998995412</v>
      </c>
      <c r="H35" s="19" t="n">
        <v>1.01673988646965E-010</v>
      </c>
      <c r="I35" s="19" t="n">
        <v>2.44017572752716E-009</v>
      </c>
      <c r="J35" s="20" t="str">
        <f aca="false">IF(G35&lt;0,"QUANTUM","Classical")</f>
        <v>Classical</v>
      </c>
      <c r="K35" s="21" t="str">
        <f aca="false">IF(H35&lt;0.05,"yes","no")</f>
        <v>yes</v>
      </c>
      <c r="L35" s="21"/>
    </row>
    <row r="36" customFormat="false" ht="15" hidden="false" customHeight="false" outlineLevel="0" collapsed="false">
      <c r="A36" s="16" t="s">
        <v>45</v>
      </c>
      <c r="B36" s="17" t="n">
        <v>10</v>
      </c>
      <c r="C36" s="16" t="s">
        <v>46</v>
      </c>
      <c r="D36" s="17" t="s">
        <v>47</v>
      </c>
      <c r="E36" s="16" t="s">
        <v>48</v>
      </c>
      <c r="F36" s="17" t="n">
        <v>4</v>
      </c>
      <c r="G36" s="18" t="n">
        <v>7.28989278879537</v>
      </c>
      <c r="H36" s="19" t="n">
        <v>3.83932657811826E-011</v>
      </c>
      <c r="I36" s="19" t="n">
        <v>1.29023209483065E-009</v>
      </c>
      <c r="J36" s="20" t="str">
        <f aca="false">IF(G36&lt;0,"QUANTUM","Classical")</f>
        <v>Classical</v>
      </c>
      <c r="K36" s="21" t="str">
        <f aca="false">IF(H36&lt;0.05,"yes","no")</f>
        <v>yes</v>
      </c>
      <c r="L36" s="21"/>
    </row>
    <row r="37" customFormat="false" ht="15" hidden="false" customHeight="false" outlineLevel="0" collapsed="false">
      <c r="A37" s="16" t="s">
        <v>45</v>
      </c>
      <c r="B37" s="17" t="n">
        <v>12</v>
      </c>
      <c r="C37" s="16" t="s">
        <v>46</v>
      </c>
      <c r="D37" s="17" t="s">
        <v>47</v>
      </c>
      <c r="E37" s="16" t="s">
        <v>48</v>
      </c>
      <c r="F37" s="17" t="n">
        <v>0</v>
      </c>
      <c r="G37" s="18" t="n">
        <v>7.12439170124944</v>
      </c>
      <c r="H37" s="19" t="n">
        <v>8.92306498682579E-011</v>
      </c>
      <c r="I37" s="19" t="n">
        <v>2.30133417274976E-009</v>
      </c>
      <c r="J37" s="20" t="str">
        <f aca="false">IF(G37&lt;0,"QUANTUM","Classical")</f>
        <v>Classical</v>
      </c>
      <c r="K37" s="21" t="str">
        <f aca="false">IF(H37&lt;0.05,"yes","no")</f>
        <v>yes</v>
      </c>
      <c r="L37" s="21"/>
    </row>
    <row r="38" customFormat="false" ht="15" hidden="false" customHeight="false" outlineLevel="0" collapsed="false">
      <c r="A38" s="16" t="s">
        <v>45</v>
      </c>
      <c r="B38" s="17" t="n">
        <v>12</v>
      </c>
      <c r="C38" s="16" t="s">
        <v>46</v>
      </c>
      <c r="D38" s="17" t="s">
        <v>47</v>
      </c>
      <c r="E38" s="16" t="s">
        <v>48</v>
      </c>
      <c r="F38" s="17" t="n">
        <v>1</v>
      </c>
      <c r="G38" s="18" t="n">
        <v>7.54652919074981</v>
      </c>
      <c r="H38" s="19" t="n">
        <v>1.02490699399712E-011</v>
      </c>
      <c r="I38" s="19" t="n">
        <v>4.33563334041028E-010</v>
      </c>
      <c r="J38" s="20" t="str">
        <f aca="false">IF(G38&lt;0,"QUANTUM","Classical")</f>
        <v>Classical</v>
      </c>
      <c r="K38" s="21" t="str">
        <f aca="false">IF(H38&lt;0.05,"yes","no")</f>
        <v>yes</v>
      </c>
      <c r="L38" s="21"/>
    </row>
    <row r="39" customFormat="false" ht="15" hidden="false" customHeight="false" outlineLevel="0" collapsed="false">
      <c r="A39" s="16" t="s">
        <v>50</v>
      </c>
      <c r="B39" s="17" t="n">
        <v>4</v>
      </c>
      <c r="C39" s="16" t="s">
        <v>46</v>
      </c>
      <c r="D39" s="17" t="s">
        <v>47</v>
      </c>
      <c r="E39" s="16" t="s">
        <v>48</v>
      </c>
      <c r="F39" s="17" t="n">
        <v>0</v>
      </c>
      <c r="G39" s="18" t="n">
        <v>9.22166173238968</v>
      </c>
      <c r="H39" s="19" t="n">
        <v>5.51259000070113E-018</v>
      </c>
      <c r="I39" s="19" t="n">
        <v>4.41317810673723E-016</v>
      </c>
      <c r="J39" s="20" t="str">
        <f aca="false">IF(G39&lt;0,"QUANTUM","Classical")</f>
        <v>Classical</v>
      </c>
      <c r="K39" s="21" t="str">
        <f aca="false">IF(H39&lt;0.05,"yes","no")</f>
        <v>yes</v>
      </c>
      <c r="L39" s="21"/>
    </row>
    <row r="40" customFormat="false" ht="15" hidden="false" customHeight="false" outlineLevel="0" collapsed="false">
      <c r="A40" s="16" t="s">
        <v>50</v>
      </c>
      <c r="B40" s="17" t="n">
        <v>4</v>
      </c>
      <c r="C40" s="16" t="s">
        <v>46</v>
      </c>
      <c r="D40" s="17" t="s">
        <v>47</v>
      </c>
      <c r="E40" s="16" t="s">
        <v>48</v>
      </c>
      <c r="F40" s="17" t="n">
        <v>1</v>
      </c>
      <c r="G40" s="18" t="n">
        <v>9.24064847850663</v>
      </c>
      <c r="H40" s="19" t="n">
        <v>4.80273297643258E-018</v>
      </c>
      <c r="I40" s="19" t="n">
        <v>3.93824104067472E-016</v>
      </c>
      <c r="J40" s="20" t="str">
        <f aca="false">IF(G40&lt;0,"QUANTUM","Classical")</f>
        <v>Classical</v>
      </c>
      <c r="K40" s="21" t="str">
        <f aca="false">IF(H40&lt;0.05,"yes","no")</f>
        <v>yes</v>
      </c>
      <c r="L40" s="21"/>
    </row>
    <row r="41" customFormat="false" ht="15" hidden="false" customHeight="false" outlineLevel="0" collapsed="false">
      <c r="A41" s="16" t="s">
        <v>50</v>
      </c>
      <c r="B41" s="17" t="n">
        <v>4</v>
      </c>
      <c r="C41" s="16" t="s">
        <v>46</v>
      </c>
      <c r="D41" s="17" t="s">
        <v>47</v>
      </c>
      <c r="E41" s="16" t="s">
        <v>48</v>
      </c>
      <c r="F41" s="17" t="n">
        <v>2</v>
      </c>
      <c r="G41" s="18" t="n">
        <v>8.3880643220499</v>
      </c>
      <c r="H41" s="19" t="n">
        <v>2.00310691338775E-015</v>
      </c>
      <c r="I41" s="19" t="n">
        <v>1.26195735543428E-013</v>
      </c>
      <c r="J41" s="20" t="str">
        <f aca="false">IF(G41&lt;0,"QUANTUM","Classical")</f>
        <v>Classical</v>
      </c>
      <c r="K41" s="21" t="str">
        <f aca="false">IF(H41&lt;0.05,"yes","no")</f>
        <v>yes</v>
      </c>
      <c r="L41" s="21"/>
    </row>
    <row r="42" customFormat="false" ht="15" hidden="false" customHeight="false" outlineLevel="0" collapsed="false">
      <c r="A42" s="16" t="s">
        <v>50</v>
      </c>
      <c r="B42" s="17" t="n">
        <v>4</v>
      </c>
      <c r="C42" s="16" t="s">
        <v>46</v>
      </c>
      <c r="D42" s="17" t="s">
        <v>47</v>
      </c>
      <c r="E42" s="16" t="s">
        <v>48</v>
      </c>
      <c r="F42" s="17" t="n">
        <v>3</v>
      </c>
      <c r="G42" s="18" t="n">
        <v>9.22327658778226</v>
      </c>
      <c r="H42" s="19" t="n">
        <v>5.44836803300892E-018</v>
      </c>
      <c r="I42" s="19" t="n">
        <v>4.41317810673723E-016</v>
      </c>
      <c r="J42" s="20" t="str">
        <f aca="false">IF(G42&lt;0,"QUANTUM","Classical")</f>
        <v>Classical</v>
      </c>
      <c r="K42" s="21" t="str">
        <f aca="false">IF(H42&lt;0.05,"yes","no")</f>
        <v>yes</v>
      </c>
      <c r="L42" s="21"/>
    </row>
    <row r="43" customFormat="false" ht="15" hidden="false" customHeight="false" outlineLevel="0" collapsed="false">
      <c r="A43" s="16" t="s">
        <v>50</v>
      </c>
      <c r="B43" s="17" t="n">
        <v>4</v>
      </c>
      <c r="C43" s="16" t="s">
        <v>46</v>
      </c>
      <c r="D43" s="17" t="s">
        <v>47</v>
      </c>
      <c r="E43" s="16" t="s">
        <v>48</v>
      </c>
      <c r="F43" s="17" t="n">
        <v>4</v>
      </c>
      <c r="G43" s="18" t="n">
        <v>7.6572430249213</v>
      </c>
      <c r="H43" s="19" t="n">
        <v>2.67044391687507E-013</v>
      </c>
      <c r="I43" s="19" t="n">
        <v>1.52215303261879E-011</v>
      </c>
      <c r="J43" s="20" t="str">
        <f aca="false">IF(G43&lt;0,"QUANTUM","Classical")</f>
        <v>Classical</v>
      </c>
      <c r="K43" s="21" t="str">
        <f aca="false">IF(H43&lt;0.05,"yes","no")</f>
        <v>yes</v>
      </c>
      <c r="L43" s="21"/>
    </row>
    <row r="44" customFormat="false" ht="15" hidden="false" customHeight="false" outlineLevel="0" collapsed="false">
      <c r="A44" s="16" t="s">
        <v>50</v>
      </c>
      <c r="B44" s="17" t="n">
        <v>4</v>
      </c>
      <c r="C44" s="16" t="s">
        <v>46</v>
      </c>
      <c r="D44" s="17" t="s">
        <v>47</v>
      </c>
      <c r="E44" s="16" t="s">
        <v>48</v>
      </c>
      <c r="F44" s="17" t="n">
        <v>5</v>
      </c>
      <c r="G44" s="18" t="n">
        <v>9.94784345966552</v>
      </c>
      <c r="H44" s="19" t="n">
        <v>2.5520018972001E-020</v>
      </c>
      <c r="I44" s="19" t="n">
        <v>3.11344231458412E-018</v>
      </c>
      <c r="J44" s="20" t="str">
        <f aca="false">IF(G44&lt;0,"QUANTUM","Classical")</f>
        <v>Classical</v>
      </c>
      <c r="K44" s="21" t="str">
        <f aca="false">IF(H44&lt;0.05,"yes","no")</f>
        <v>yes</v>
      </c>
      <c r="L44" s="21"/>
    </row>
    <row r="45" customFormat="false" ht="15" hidden="false" customHeight="false" outlineLevel="0" collapsed="false">
      <c r="A45" s="16" t="s">
        <v>50</v>
      </c>
      <c r="B45" s="17" t="n">
        <v>4</v>
      </c>
      <c r="C45" s="16" t="s">
        <v>46</v>
      </c>
      <c r="D45" s="17" t="s">
        <v>47</v>
      </c>
      <c r="E45" s="16" t="s">
        <v>48</v>
      </c>
      <c r="F45" s="17" t="n">
        <v>6</v>
      </c>
      <c r="G45" s="18" t="n">
        <v>11.3020821674432</v>
      </c>
      <c r="H45" s="19" t="n">
        <v>6.89781440734498E-025</v>
      </c>
      <c r="I45" s="19" t="n">
        <v>1.11054811958254E-022</v>
      </c>
      <c r="J45" s="20" t="str">
        <f aca="false">IF(G45&lt;0,"QUANTUM","Classical")</f>
        <v>Classical</v>
      </c>
      <c r="K45" s="21" t="str">
        <f aca="false">IF(H45&lt;0.05,"yes","no")</f>
        <v>yes</v>
      </c>
      <c r="L45" s="21"/>
    </row>
    <row r="46" customFormat="false" ht="15" hidden="false" customHeight="false" outlineLevel="0" collapsed="false">
      <c r="A46" s="16" t="s">
        <v>50</v>
      </c>
      <c r="B46" s="17" t="n">
        <v>4</v>
      </c>
      <c r="C46" s="16" t="s">
        <v>46</v>
      </c>
      <c r="D46" s="17" t="s">
        <v>47</v>
      </c>
      <c r="E46" s="16" t="s">
        <v>48</v>
      </c>
      <c r="F46" s="17" t="n">
        <v>7</v>
      </c>
      <c r="G46" s="18" t="n">
        <v>9.81697924800644</v>
      </c>
      <c r="H46" s="19" t="n">
        <v>6.82522694404588E-020</v>
      </c>
      <c r="I46" s="19" t="n">
        <v>7.37124509956955E-018</v>
      </c>
      <c r="J46" s="20" t="str">
        <f aca="false">IF(G46&lt;0,"QUANTUM","Classical")</f>
        <v>Classical</v>
      </c>
      <c r="K46" s="21" t="str">
        <f aca="false">IF(H46&lt;0.05,"yes","no")</f>
        <v>yes</v>
      </c>
      <c r="L46" s="21"/>
    </row>
    <row r="47" customFormat="false" ht="15" hidden="false" customHeight="false" outlineLevel="0" collapsed="false">
      <c r="A47" s="16" t="s">
        <v>50</v>
      </c>
      <c r="B47" s="17" t="n">
        <v>4</v>
      </c>
      <c r="C47" s="16" t="s">
        <v>46</v>
      </c>
      <c r="D47" s="17" t="s">
        <v>47</v>
      </c>
      <c r="E47" s="16" t="s">
        <v>48</v>
      </c>
      <c r="F47" s="17" t="n">
        <v>8</v>
      </c>
      <c r="G47" s="18" t="n">
        <v>9.55990594067315</v>
      </c>
      <c r="H47" s="19" t="n">
        <v>4.62591512990505E-019</v>
      </c>
      <c r="I47" s="19" t="n">
        <v>4.44087852470885E-017</v>
      </c>
      <c r="J47" s="20" t="str">
        <f aca="false">IF(G47&lt;0,"QUANTUM","Classical")</f>
        <v>Classical</v>
      </c>
      <c r="K47" s="21" t="str">
        <f aca="false">IF(H47&lt;0.05,"yes","no")</f>
        <v>yes</v>
      </c>
      <c r="L47" s="21"/>
    </row>
    <row r="48" customFormat="false" ht="15" hidden="false" customHeight="false" outlineLevel="0" collapsed="false">
      <c r="A48" s="16" t="s">
        <v>50</v>
      </c>
      <c r="B48" s="17" t="n">
        <v>4</v>
      </c>
      <c r="C48" s="16" t="s">
        <v>46</v>
      </c>
      <c r="D48" s="17" t="s">
        <v>47</v>
      </c>
      <c r="E48" s="16" t="s">
        <v>48</v>
      </c>
      <c r="F48" s="17" t="n">
        <v>9</v>
      </c>
      <c r="G48" s="18" t="n">
        <v>8.90926121432109</v>
      </c>
      <c r="H48" s="19" t="n">
        <v>5.20925180556977E-017</v>
      </c>
      <c r="I48" s="19" t="n">
        <v>3.85484633612163E-015</v>
      </c>
      <c r="J48" s="20" t="str">
        <f aca="false">IF(G48&lt;0,"QUANTUM","Classical")</f>
        <v>Classical</v>
      </c>
      <c r="K48" s="21" t="str">
        <f aca="false">IF(H48&lt;0.05,"yes","no")</f>
        <v>yes</v>
      </c>
      <c r="L48" s="21"/>
    </row>
    <row r="49" customFormat="false" ht="15" hidden="false" customHeight="false" outlineLevel="0" collapsed="false">
      <c r="A49" s="16" t="s">
        <v>50</v>
      </c>
      <c r="B49" s="17" t="n">
        <v>6</v>
      </c>
      <c r="C49" s="16" t="s">
        <v>46</v>
      </c>
      <c r="D49" s="17" t="s">
        <v>47</v>
      </c>
      <c r="E49" s="16" t="s">
        <v>48</v>
      </c>
      <c r="F49" s="17" t="n">
        <v>0</v>
      </c>
      <c r="G49" s="18" t="n">
        <v>8.6889470128912</v>
      </c>
      <c r="H49" s="19" t="n">
        <v>2.47405911331007E-016</v>
      </c>
      <c r="I49" s="19" t="n">
        <v>1.70710078818395E-014</v>
      </c>
      <c r="J49" s="20" t="str">
        <f aca="false">IF(G49&lt;0,"QUANTUM","Classical")</f>
        <v>Classical</v>
      </c>
      <c r="K49" s="21" t="str">
        <f aca="false">IF(H49&lt;0.05,"yes","no")</f>
        <v>yes</v>
      </c>
      <c r="L49" s="21"/>
    </row>
    <row r="50" customFormat="false" ht="15" hidden="false" customHeight="false" outlineLevel="0" collapsed="false">
      <c r="A50" s="16" t="s">
        <v>50</v>
      </c>
      <c r="B50" s="17" t="n">
        <v>6</v>
      </c>
      <c r="C50" s="16" t="s">
        <v>46</v>
      </c>
      <c r="D50" s="17" t="s">
        <v>47</v>
      </c>
      <c r="E50" s="16" t="s">
        <v>48</v>
      </c>
      <c r="F50" s="17" t="n">
        <v>1</v>
      </c>
      <c r="G50" s="18" t="n">
        <v>12.3975468431422</v>
      </c>
      <c r="H50" s="19" t="n">
        <v>9.58235861093554E-029</v>
      </c>
      <c r="I50" s="19" t="n">
        <v>1.79190106024495E-026</v>
      </c>
      <c r="J50" s="20" t="str">
        <f aca="false">IF(G50&lt;0,"QUANTUM","Classical")</f>
        <v>Classical</v>
      </c>
      <c r="K50" s="21" t="str">
        <f aca="false">IF(H50&lt;0.05,"yes","no")</f>
        <v>yes</v>
      </c>
      <c r="L50" s="21"/>
    </row>
    <row r="51" customFormat="false" ht="15" hidden="false" customHeight="false" outlineLevel="0" collapsed="false">
      <c r="A51" s="16" t="s">
        <v>50</v>
      </c>
      <c r="B51" s="17" t="n">
        <v>6</v>
      </c>
      <c r="C51" s="16" t="s">
        <v>46</v>
      </c>
      <c r="D51" s="17" t="s">
        <v>47</v>
      </c>
      <c r="E51" s="16" t="s">
        <v>48</v>
      </c>
      <c r="F51" s="17" t="n">
        <v>2</v>
      </c>
      <c r="G51" s="18" t="n">
        <v>9.77205374667783</v>
      </c>
      <c r="H51" s="19" t="n">
        <v>9.55315386879217E-020</v>
      </c>
      <c r="I51" s="19" t="n">
        <v>1.00308115622318E-017</v>
      </c>
      <c r="J51" s="20" t="str">
        <f aca="false">IF(G51&lt;0,"QUANTUM","Classical")</f>
        <v>Classical</v>
      </c>
      <c r="K51" s="21" t="str">
        <f aca="false">IF(H51&lt;0.05,"yes","no")</f>
        <v>yes</v>
      </c>
      <c r="L51" s="21"/>
    </row>
    <row r="52" customFormat="false" ht="15" hidden="false" customHeight="false" outlineLevel="0" collapsed="false">
      <c r="A52" s="16" t="s">
        <v>50</v>
      </c>
      <c r="B52" s="17" t="n">
        <v>6</v>
      </c>
      <c r="C52" s="16" t="s">
        <v>46</v>
      </c>
      <c r="D52" s="17" t="s">
        <v>47</v>
      </c>
      <c r="E52" s="16" t="s">
        <v>48</v>
      </c>
      <c r="F52" s="17" t="n">
        <v>3</v>
      </c>
      <c r="G52" s="18" t="n">
        <v>9.32507071897083</v>
      </c>
      <c r="H52" s="19" t="n">
        <v>2.59720123938863E-018</v>
      </c>
      <c r="I52" s="19" t="n">
        <v>2.18164904108645E-016</v>
      </c>
      <c r="J52" s="20" t="str">
        <f aca="false">IF(G52&lt;0,"QUANTUM","Classical")</f>
        <v>Classical</v>
      </c>
      <c r="K52" s="21" t="str">
        <f aca="false">IF(H52&lt;0.05,"yes","no")</f>
        <v>yes</v>
      </c>
      <c r="L52" s="21"/>
    </row>
    <row r="53" customFormat="false" ht="15" hidden="false" customHeight="false" outlineLevel="0" collapsed="false">
      <c r="A53" s="16" t="s">
        <v>50</v>
      </c>
      <c r="B53" s="17" t="n">
        <v>6</v>
      </c>
      <c r="C53" s="16" t="s">
        <v>46</v>
      </c>
      <c r="D53" s="17" t="s">
        <v>47</v>
      </c>
      <c r="E53" s="16" t="s">
        <v>48</v>
      </c>
      <c r="F53" s="17" t="n">
        <v>4</v>
      </c>
      <c r="G53" s="18" t="n">
        <v>8.63649303903877</v>
      </c>
      <c r="H53" s="19" t="n">
        <v>3.57345348112563E-016</v>
      </c>
      <c r="I53" s="19" t="n">
        <v>2.39421383235417E-014</v>
      </c>
      <c r="J53" s="20" t="str">
        <f aca="false">IF(G53&lt;0,"QUANTUM","Classical")</f>
        <v>Classical</v>
      </c>
      <c r="K53" s="21" t="str">
        <f aca="false">IF(H53&lt;0.05,"yes","no")</f>
        <v>yes</v>
      </c>
      <c r="L53" s="21"/>
    </row>
    <row r="54" customFormat="false" ht="15" hidden="false" customHeight="false" outlineLevel="0" collapsed="false">
      <c r="A54" s="16" t="s">
        <v>50</v>
      </c>
      <c r="B54" s="17" t="n">
        <v>6</v>
      </c>
      <c r="C54" s="16" t="s">
        <v>46</v>
      </c>
      <c r="D54" s="17" t="s">
        <v>47</v>
      </c>
      <c r="E54" s="16" t="s">
        <v>48</v>
      </c>
      <c r="F54" s="17" t="n">
        <v>5</v>
      </c>
      <c r="G54" s="18" t="n">
        <v>9.99753886682303</v>
      </c>
      <c r="H54" s="19" t="n">
        <v>1.75356852432105E-020</v>
      </c>
      <c r="I54" s="19" t="n">
        <v>2.24456771113094E-018</v>
      </c>
      <c r="J54" s="20" t="str">
        <f aca="false">IF(G54&lt;0,"QUANTUM","Classical")</f>
        <v>Classical</v>
      </c>
      <c r="K54" s="21" t="str">
        <f aca="false">IF(H54&lt;0.05,"yes","no")</f>
        <v>yes</v>
      </c>
      <c r="L54" s="21"/>
    </row>
    <row r="55" customFormat="false" ht="15" hidden="false" customHeight="false" outlineLevel="0" collapsed="false">
      <c r="A55" s="16" t="s">
        <v>50</v>
      </c>
      <c r="B55" s="17" t="n">
        <v>6</v>
      </c>
      <c r="C55" s="16" t="s">
        <v>46</v>
      </c>
      <c r="D55" s="17" t="s">
        <v>47</v>
      </c>
      <c r="E55" s="16" t="s">
        <v>48</v>
      </c>
      <c r="F55" s="17" t="n">
        <v>6</v>
      </c>
      <c r="G55" s="18" t="n">
        <v>11.9417338306749</v>
      </c>
      <c r="H55" s="19" t="n">
        <v>3.99308843430688E-027</v>
      </c>
      <c r="I55" s="19" t="n">
        <v>7.10769741306625E-025</v>
      </c>
      <c r="J55" s="20" t="str">
        <f aca="false">IF(G55&lt;0,"QUANTUM","Classical")</f>
        <v>Classical</v>
      </c>
      <c r="K55" s="21" t="str">
        <f aca="false">IF(H55&lt;0.05,"yes","no")</f>
        <v>yes</v>
      </c>
      <c r="L55" s="21"/>
    </row>
    <row r="56" customFormat="false" ht="15" hidden="false" customHeight="false" outlineLevel="0" collapsed="false">
      <c r="A56" s="16" t="s">
        <v>50</v>
      </c>
      <c r="B56" s="17" t="n">
        <v>6</v>
      </c>
      <c r="C56" s="16" t="s">
        <v>46</v>
      </c>
      <c r="D56" s="17" t="s">
        <v>47</v>
      </c>
      <c r="E56" s="16" t="s">
        <v>48</v>
      </c>
      <c r="F56" s="17" t="n">
        <v>7</v>
      </c>
      <c r="G56" s="18" t="n">
        <v>9.39016544504723</v>
      </c>
      <c r="H56" s="19" t="n">
        <v>1.61351602339853E-018</v>
      </c>
      <c r="I56" s="19" t="n">
        <v>1.43602926082469E-016</v>
      </c>
      <c r="J56" s="20" t="str">
        <f aca="false">IF(G56&lt;0,"QUANTUM","Classical")</f>
        <v>Classical</v>
      </c>
      <c r="K56" s="21" t="str">
        <f aca="false">IF(H56&lt;0.05,"yes","no")</f>
        <v>yes</v>
      </c>
      <c r="L56" s="21"/>
    </row>
    <row r="57" customFormat="false" ht="15" hidden="false" customHeight="false" outlineLevel="0" collapsed="false">
      <c r="A57" s="16" t="s">
        <v>50</v>
      </c>
      <c r="B57" s="17" t="n">
        <v>6</v>
      </c>
      <c r="C57" s="16" t="s">
        <v>46</v>
      </c>
      <c r="D57" s="17" t="s">
        <v>47</v>
      </c>
      <c r="E57" s="16" t="s">
        <v>48</v>
      </c>
      <c r="F57" s="17" t="n">
        <v>8</v>
      </c>
      <c r="G57" s="18" t="n">
        <v>11.106307780706</v>
      </c>
      <c r="H57" s="19" t="n">
        <v>3.26734349412262E-024</v>
      </c>
      <c r="I57" s="19" t="n">
        <v>5.12972928577251E-022</v>
      </c>
      <c r="J57" s="20" t="str">
        <f aca="false">IF(G57&lt;0,"QUANTUM","Classical")</f>
        <v>Classical</v>
      </c>
      <c r="K57" s="21" t="str">
        <f aca="false">IF(H57&lt;0.05,"yes","no")</f>
        <v>yes</v>
      </c>
      <c r="L57" s="21"/>
    </row>
    <row r="58" customFormat="false" ht="15" hidden="false" customHeight="false" outlineLevel="0" collapsed="false">
      <c r="A58" s="16" t="s">
        <v>50</v>
      </c>
      <c r="B58" s="17" t="n">
        <v>6</v>
      </c>
      <c r="C58" s="16" t="s">
        <v>46</v>
      </c>
      <c r="D58" s="17" t="s">
        <v>47</v>
      </c>
      <c r="E58" s="16" t="s">
        <v>48</v>
      </c>
      <c r="F58" s="17" t="n">
        <v>9</v>
      </c>
      <c r="G58" s="18" t="n">
        <v>8.1552764764414</v>
      </c>
      <c r="H58" s="19" t="n">
        <v>9.80385082187071E-015</v>
      </c>
      <c r="I58" s="19" t="n">
        <v>5.98034900134114E-013</v>
      </c>
      <c r="J58" s="20" t="str">
        <f aca="false">IF(G58&lt;0,"QUANTUM","Classical")</f>
        <v>Classical</v>
      </c>
      <c r="K58" s="21" t="str">
        <f aca="false">IF(H58&lt;0.05,"yes","no")</f>
        <v>yes</v>
      </c>
      <c r="L58" s="21"/>
    </row>
    <row r="59" customFormat="false" ht="15" hidden="false" customHeight="false" outlineLevel="0" collapsed="false">
      <c r="A59" s="16" t="s">
        <v>50</v>
      </c>
      <c r="B59" s="17" t="n">
        <v>8</v>
      </c>
      <c r="C59" s="16" t="s">
        <v>46</v>
      </c>
      <c r="D59" s="17" t="s">
        <v>47</v>
      </c>
      <c r="E59" s="16" t="s">
        <v>48</v>
      </c>
      <c r="F59" s="17" t="n">
        <v>0</v>
      </c>
      <c r="G59" s="18" t="n">
        <v>7.23170730026863</v>
      </c>
      <c r="H59" s="19" t="n">
        <v>6.48314603018263E-012</v>
      </c>
      <c r="I59" s="19" t="n">
        <v>3.17674155478949E-010</v>
      </c>
      <c r="J59" s="20" t="str">
        <f aca="false">IF(G59&lt;0,"QUANTUM","Classical")</f>
        <v>Classical</v>
      </c>
      <c r="K59" s="21" t="str">
        <f aca="false">IF(H59&lt;0.05,"yes","no")</f>
        <v>yes</v>
      </c>
      <c r="L59" s="21"/>
    </row>
    <row r="60" customFormat="false" ht="15" hidden="false" customHeight="false" outlineLevel="0" collapsed="false">
      <c r="A60" s="16" t="s">
        <v>50</v>
      </c>
      <c r="B60" s="17" t="n">
        <v>8</v>
      </c>
      <c r="C60" s="16" t="s">
        <v>46</v>
      </c>
      <c r="D60" s="17" t="s">
        <v>47</v>
      </c>
      <c r="E60" s="16" t="s">
        <v>48</v>
      </c>
      <c r="F60" s="17" t="n">
        <v>1</v>
      </c>
      <c r="G60" s="18" t="n">
        <v>8.0698468028869</v>
      </c>
      <c r="H60" s="19" t="n">
        <v>3.47428919621289E-014</v>
      </c>
      <c r="I60" s="19" t="n">
        <v>2.08457351772774E-012</v>
      </c>
      <c r="J60" s="20" t="str">
        <f aca="false">IF(G60&lt;0,"QUANTUM","Classical")</f>
        <v>Classical</v>
      </c>
      <c r="K60" s="21" t="str">
        <f aca="false">IF(H60&lt;0.05,"yes","no")</f>
        <v>yes</v>
      </c>
      <c r="L60" s="21"/>
    </row>
    <row r="61" customFormat="false" ht="15" hidden="false" customHeight="false" outlineLevel="0" collapsed="false">
      <c r="A61" s="16" t="s">
        <v>50</v>
      </c>
      <c r="B61" s="17" t="n">
        <v>8</v>
      </c>
      <c r="C61" s="16" t="s">
        <v>46</v>
      </c>
      <c r="D61" s="17" t="s">
        <v>47</v>
      </c>
      <c r="E61" s="16" t="s">
        <v>48</v>
      </c>
      <c r="F61" s="17" t="n">
        <v>2</v>
      </c>
      <c r="G61" s="18" t="n">
        <v>6.79943809990712</v>
      </c>
      <c r="H61" s="19" t="n">
        <v>8.39851508440174E-011</v>
      </c>
      <c r="I61" s="19" t="n">
        <v>2.26759907278847E-009</v>
      </c>
      <c r="J61" s="20" t="str">
        <f aca="false">IF(G61&lt;0,"QUANTUM","Classical")</f>
        <v>Classical</v>
      </c>
      <c r="K61" s="21" t="str">
        <f aca="false">IF(H61&lt;0.05,"yes","no")</f>
        <v>yes</v>
      </c>
      <c r="L61" s="21"/>
    </row>
    <row r="62" customFormat="false" ht="15" hidden="false" customHeight="false" outlineLevel="0" collapsed="false">
      <c r="A62" s="16" t="s">
        <v>50</v>
      </c>
      <c r="B62" s="17" t="n">
        <v>8</v>
      </c>
      <c r="C62" s="16" t="s">
        <v>46</v>
      </c>
      <c r="D62" s="17" t="s">
        <v>47</v>
      </c>
      <c r="E62" s="16" t="s">
        <v>48</v>
      </c>
      <c r="F62" s="17" t="n">
        <v>3</v>
      </c>
      <c r="G62" s="18" t="n">
        <v>7.19459272467813</v>
      </c>
      <c r="H62" s="19" t="n">
        <v>8.10868047329214E-012</v>
      </c>
      <c r="I62" s="19" t="n">
        <v>3.72999301771439E-010</v>
      </c>
      <c r="J62" s="20" t="str">
        <f aca="false">IF(G62&lt;0,"QUANTUM","Classical")</f>
        <v>Classical</v>
      </c>
      <c r="K62" s="21" t="str">
        <f aca="false">IF(H62&lt;0.05,"yes","no")</f>
        <v>yes</v>
      </c>
      <c r="L62" s="21"/>
    </row>
    <row r="63" customFormat="false" ht="15" hidden="false" customHeight="false" outlineLevel="0" collapsed="false">
      <c r="A63" s="16" t="s">
        <v>50</v>
      </c>
      <c r="B63" s="17" t="n">
        <v>8</v>
      </c>
      <c r="C63" s="16" t="s">
        <v>46</v>
      </c>
      <c r="D63" s="17" t="s">
        <v>47</v>
      </c>
      <c r="E63" s="16" t="s">
        <v>48</v>
      </c>
      <c r="F63" s="17" t="n">
        <v>4</v>
      </c>
      <c r="G63" s="18" t="n">
        <v>6.91580699455902</v>
      </c>
      <c r="H63" s="19" t="n">
        <v>4.25541916290754E-011</v>
      </c>
      <c r="I63" s="19" t="n">
        <v>1.31917994050134E-009</v>
      </c>
      <c r="J63" s="20" t="str">
        <f aca="false">IF(G63&lt;0,"QUANTUM","Classical")</f>
        <v>Classical</v>
      </c>
      <c r="K63" s="21" t="str">
        <f aca="false">IF(H63&lt;0.05,"yes","no")</f>
        <v>yes</v>
      </c>
      <c r="L63" s="21"/>
    </row>
    <row r="64" customFormat="false" ht="15" hidden="false" customHeight="false" outlineLevel="0" collapsed="false">
      <c r="A64" s="16" t="s">
        <v>50</v>
      </c>
      <c r="B64" s="17" t="n">
        <v>8</v>
      </c>
      <c r="C64" s="16" t="s">
        <v>46</v>
      </c>
      <c r="D64" s="17" t="s">
        <v>47</v>
      </c>
      <c r="E64" s="16" t="s">
        <v>48</v>
      </c>
      <c r="F64" s="17" t="n">
        <v>5</v>
      </c>
      <c r="G64" s="18" t="n">
        <v>6.71846901201115</v>
      </c>
      <c r="H64" s="19" t="n">
        <v>1.34202948027378E-010</v>
      </c>
      <c r="I64" s="19" t="n">
        <v>2.95246485660233E-009</v>
      </c>
      <c r="J64" s="20" t="str">
        <f aca="false">IF(G64&lt;0,"QUANTUM","Classical")</f>
        <v>Classical</v>
      </c>
      <c r="K64" s="21" t="str">
        <f aca="false">IF(H64&lt;0.05,"yes","no")</f>
        <v>yes</v>
      </c>
      <c r="L64" s="21"/>
    </row>
    <row r="65" customFormat="false" ht="15" hidden="false" customHeight="false" outlineLevel="0" collapsed="false">
      <c r="A65" s="16" t="s">
        <v>50</v>
      </c>
      <c r="B65" s="17" t="n">
        <v>8</v>
      </c>
      <c r="C65" s="16" t="s">
        <v>46</v>
      </c>
      <c r="D65" s="17" t="s">
        <v>47</v>
      </c>
      <c r="E65" s="16" t="s">
        <v>48</v>
      </c>
      <c r="F65" s="17" t="n">
        <v>6</v>
      </c>
      <c r="G65" s="18" t="n">
        <v>7.52174080208684</v>
      </c>
      <c r="H65" s="19" t="n">
        <v>1.10214432142516E-012</v>
      </c>
      <c r="I65" s="19" t="n">
        <v>5.95157933569584E-011</v>
      </c>
      <c r="J65" s="20" t="str">
        <f aca="false">IF(G65&lt;0,"QUANTUM","Classical")</f>
        <v>Classical</v>
      </c>
      <c r="K65" s="21" t="str">
        <f aca="false">IF(H65&lt;0.05,"yes","no")</f>
        <v>yes</v>
      </c>
      <c r="L65" s="21"/>
    </row>
    <row r="66" customFormat="false" ht="15" hidden="false" customHeight="false" outlineLevel="0" collapsed="false">
      <c r="A66" s="16" t="s">
        <v>50</v>
      </c>
      <c r="B66" s="17" t="n">
        <v>8</v>
      </c>
      <c r="C66" s="16" t="s">
        <v>46</v>
      </c>
      <c r="D66" s="17" t="s">
        <v>47</v>
      </c>
      <c r="E66" s="16" t="s">
        <v>48</v>
      </c>
      <c r="F66" s="17" t="n">
        <v>7</v>
      </c>
      <c r="G66" s="18" t="n">
        <v>7.53543946088614</v>
      </c>
      <c r="H66" s="19" t="n">
        <v>1.01263105411804E-012</v>
      </c>
      <c r="I66" s="19" t="n">
        <v>5.5694707976492E-011</v>
      </c>
      <c r="J66" s="20" t="str">
        <f aca="false">IF(G66&lt;0,"QUANTUM","Classical")</f>
        <v>Classical</v>
      </c>
      <c r="K66" s="21" t="str">
        <f aca="false">IF(H66&lt;0.05,"yes","no")</f>
        <v>yes</v>
      </c>
      <c r="L66" s="21"/>
    </row>
    <row r="67" customFormat="false" ht="15" hidden="false" customHeight="false" outlineLevel="0" collapsed="false">
      <c r="A67" s="16" t="s">
        <v>50</v>
      </c>
      <c r="B67" s="17" t="n">
        <v>8</v>
      </c>
      <c r="C67" s="16" t="s">
        <v>46</v>
      </c>
      <c r="D67" s="17" t="s">
        <v>47</v>
      </c>
      <c r="E67" s="16" t="s">
        <v>48</v>
      </c>
      <c r="F67" s="17" t="n">
        <v>8</v>
      </c>
      <c r="G67" s="18" t="n">
        <v>7.45047383262781</v>
      </c>
      <c r="H67" s="19" t="n">
        <v>1.70997811225522E-012</v>
      </c>
      <c r="I67" s="19" t="n">
        <v>8.72088837250165E-011</v>
      </c>
      <c r="J67" s="20" t="str">
        <f aca="false">IF(G67&lt;0,"QUANTUM","Classical")</f>
        <v>Classical</v>
      </c>
      <c r="K67" s="21" t="str">
        <f aca="false">IF(H67&lt;0.05,"yes","no")</f>
        <v>yes</v>
      </c>
      <c r="L67" s="21"/>
    </row>
    <row r="68" customFormat="false" ht="15" hidden="false" customHeight="false" outlineLevel="0" collapsed="false">
      <c r="A68" s="16" t="s">
        <v>50</v>
      </c>
      <c r="B68" s="17" t="n">
        <v>8</v>
      </c>
      <c r="C68" s="16" t="s">
        <v>46</v>
      </c>
      <c r="D68" s="17" t="s">
        <v>47</v>
      </c>
      <c r="E68" s="16" t="s">
        <v>48</v>
      </c>
      <c r="F68" s="17" t="n">
        <v>9</v>
      </c>
      <c r="G68" s="18" t="n">
        <v>6.99059111376723</v>
      </c>
      <c r="H68" s="19" t="n">
        <v>2.73864639294961E-011</v>
      </c>
      <c r="I68" s="19" t="n">
        <v>9.58526237532363E-010</v>
      </c>
      <c r="J68" s="20" t="str">
        <f aca="false">IF(G68&lt;0,"QUANTUM","Classical")</f>
        <v>Classical</v>
      </c>
      <c r="K68" s="21" t="str">
        <f aca="false">IF(H68&lt;0.05,"yes","no")</f>
        <v>yes</v>
      </c>
      <c r="L68" s="21"/>
    </row>
    <row r="69" customFormat="false" ht="15" hidden="false" customHeight="false" outlineLevel="0" collapsed="false">
      <c r="A69" s="16" t="s">
        <v>50</v>
      </c>
      <c r="B69" s="17" t="n">
        <v>10</v>
      </c>
      <c r="C69" s="16" t="s">
        <v>46</v>
      </c>
      <c r="D69" s="17" t="s">
        <v>47</v>
      </c>
      <c r="E69" s="16" t="s">
        <v>48</v>
      </c>
      <c r="F69" s="17" t="n">
        <v>0</v>
      </c>
      <c r="G69" s="18" t="n">
        <v>4.80739761626546</v>
      </c>
      <c r="H69" s="19" t="n">
        <v>4.55014789202212E-006</v>
      </c>
      <c r="I69" s="19" t="n">
        <v>5.46017747042654E-005</v>
      </c>
      <c r="J69" s="20" t="str">
        <f aca="false">IF(G69&lt;0,"QUANTUM","Classical")</f>
        <v>Classical</v>
      </c>
      <c r="K69" s="21" t="str">
        <f aca="false">IF(H69&lt;0.05,"yes","no")</f>
        <v>yes</v>
      </c>
      <c r="L69" s="21"/>
    </row>
    <row r="70" customFormat="false" ht="15" hidden="false" customHeight="false" outlineLevel="0" collapsed="false">
      <c r="A70" s="16" t="s">
        <v>50</v>
      </c>
      <c r="B70" s="17" t="n">
        <v>10</v>
      </c>
      <c r="C70" s="16" t="s">
        <v>46</v>
      </c>
      <c r="D70" s="17" t="s">
        <v>47</v>
      </c>
      <c r="E70" s="16" t="s">
        <v>48</v>
      </c>
      <c r="F70" s="17" t="n">
        <v>1</v>
      </c>
      <c r="G70" s="18" t="n">
        <v>4.67680217938612</v>
      </c>
      <c r="H70" s="19" t="n">
        <v>7.81807065640497E-006</v>
      </c>
      <c r="I70" s="19" t="n">
        <v>6.29831665521471E-005</v>
      </c>
      <c r="J70" s="20" t="str">
        <f aca="false">IF(G70&lt;0,"QUANTUM","Classical")</f>
        <v>Classical</v>
      </c>
      <c r="K70" s="21" t="str">
        <f aca="false">IF(H70&lt;0.05,"yes","no")</f>
        <v>yes</v>
      </c>
      <c r="L70" s="21"/>
    </row>
    <row r="71" customFormat="false" ht="15" hidden="false" customHeight="false" outlineLevel="0" collapsed="false">
      <c r="A71" s="16" t="s">
        <v>50</v>
      </c>
      <c r="B71" s="17" t="n">
        <v>10</v>
      </c>
      <c r="C71" s="16" t="s">
        <v>46</v>
      </c>
      <c r="D71" s="17" t="s">
        <v>47</v>
      </c>
      <c r="E71" s="16" t="s">
        <v>48</v>
      </c>
      <c r="F71" s="17" t="n">
        <v>2</v>
      </c>
      <c r="G71" s="18" t="n">
        <v>4.47831324506811</v>
      </c>
      <c r="H71" s="19" t="n">
        <v>1.74867621327001E-005</v>
      </c>
      <c r="I71" s="19" t="n">
        <v>6.99470485308004E-005</v>
      </c>
      <c r="J71" s="20" t="str">
        <f aca="false">IF(G71&lt;0,"QUANTUM","Classical")</f>
        <v>Classical</v>
      </c>
      <c r="K71" s="21" t="str">
        <f aca="false">IF(H71&lt;0.05,"yes","no")</f>
        <v>yes</v>
      </c>
      <c r="L71" s="21"/>
    </row>
    <row r="72" customFormat="false" ht="15" hidden="false" customHeight="false" outlineLevel="0" collapsed="false">
      <c r="A72" s="16" t="s">
        <v>50</v>
      </c>
      <c r="B72" s="17" t="n">
        <v>10</v>
      </c>
      <c r="C72" s="16" t="s">
        <v>46</v>
      </c>
      <c r="D72" s="17" t="s">
        <v>47</v>
      </c>
      <c r="E72" s="16" t="s">
        <v>48</v>
      </c>
      <c r="F72" s="17" t="n">
        <v>3</v>
      </c>
      <c r="G72" s="18" t="n">
        <v>4.75221631159055</v>
      </c>
      <c r="H72" s="19" t="n">
        <v>5.72574241383155E-006</v>
      </c>
      <c r="I72" s="19" t="n">
        <v>6.29831665521471E-005</v>
      </c>
      <c r="J72" s="20" t="str">
        <f aca="false">IF(G72&lt;0,"QUANTUM","Classical")</f>
        <v>Classical</v>
      </c>
      <c r="K72" s="21" t="str">
        <f aca="false">IF(H72&lt;0.05,"yes","no")</f>
        <v>yes</v>
      </c>
      <c r="L72" s="21"/>
    </row>
    <row r="73" customFormat="false" ht="15" hidden="false" customHeight="false" outlineLevel="0" collapsed="false">
      <c r="A73" s="16" t="s">
        <v>50</v>
      </c>
      <c r="B73" s="17" t="n">
        <v>10</v>
      </c>
      <c r="C73" s="16" t="s">
        <v>46</v>
      </c>
      <c r="D73" s="17" t="s">
        <v>47</v>
      </c>
      <c r="E73" s="16" t="s">
        <v>48</v>
      </c>
      <c r="F73" s="17" t="n">
        <v>4</v>
      </c>
      <c r="G73" s="18" t="n">
        <v>4.67960933842757</v>
      </c>
      <c r="H73" s="19" t="n">
        <v>7.72837471198263E-006</v>
      </c>
      <c r="I73" s="19" t="n">
        <v>6.29831665521471E-005</v>
      </c>
      <c r="J73" s="20" t="str">
        <f aca="false">IF(G73&lt;0,"QUANTUM","Classical")</f>
        <v>Classical</v>
      </c>
      <c r="K73" s="21" t="str">
        <f aca="false">IF(H73&lt;0.05,"yes","no")</f>
        <v>yes</v>
      </c>
      <c r="L73" s="21"/>
    </row>
    <row r="74" customFormat="false" ht="15" hidden="false" customHeight="false" outlineLevel="0" collapsed="false">
      <c r="A74" s="16" t="s">
        <v>51</v>
      </c>
      <c r="B74" s="17" t="n">
        <v>4</v>
      </c>
      <c r="C74" s="16" t="s">
        <v>46</v>
      </c>
      <c r="D74" s="17" t="s">
        <v>47</v>
      </c>
      <c r="E74" s="16" t="s">
        <v>48</v>
      </c>
      <c r="F74" s="17" t="n">
        <v>0</v>
      </c>
      <c r="G74" s="18" t="n">
        <v>10.6253251534315</v>
      </c>
      <c r="H74" s="19" t="n">
        <v>1.42291038446894E-022</v>
      </c>
      <c r="I74" s="19" t="n">
        <v>2.07744916132466E-020</v>
      </c>
      <c r="J74" s="20" t="str">
        <f aca="false">IF(G74&lt;0,"QUANTUM","Classical")</f>
        <v>Classical</v>
      </c>
      <c r="K74" s="21" t="str">
        <f aca="false">IF(H74&lt;0.05,"yes","no")</f>
        <v>yes</v>
      </c>
      <c r="L74" s="21"/>
    </row>
    <row r="75" customFormat="false" ht="15" hidden="false" customHeight="false" outlineLevel="0" collapsed="false">
      <c r="A75" s="16" t="s">
        <v>51</v>
      </c>
      <c r="B75" s="17" t="n">
        <v>4</v>
      </c>
      <c r="C75" s="16" t="s">
        <v>46</v>
      </c>
      <c r="D75" s="17" t="s">
        <v>47</v>
      </c>
      <c r="E75" s="16" t="s">
        <v>48</v>
      </c>
      <c r="F75" s="17" t="n">
        <v>1</v>
      </c>
      <c r="G75" s="18" t="n">
        <v>12.3109665754864</v>
      </c>
      <c r="H75" s="19" t="n">
        <v>1.95273805425243E-028</v>
      </c>
      <c r="I75" s="19" t="n">
        <v>3.59303801982447E-026</v>
      </c>
      <c r="J75" s="20" t="str">
        <f aca="false">IF(G75&lt;0,"QUANTUM","Classical")</f>
        <v>Classical</v>
      </c>
      <c r="K75" s="21" t="str">
        <f aca="false">IF(H75&lt;0.05,"yes","no")</f>
        <v>yes</v>
      </c>
      <c r="L75" s="21"/>
    </row>
    <row r="76" customFormat="false" ht="15" hidden="false" customHeight="false" outlineLevel="0" collapsed="false">
      <c r="A76" s="16" t="s">
        <v>51</v>
      </c>
      <c r="B76" s="17" t="n">
        <v>4</v>
      </c>
      <c r="C76" s="16" t="s">
        <v>46</v>
      </c>
      <c r="D76" s="17" t="s">
        <v>47</v>
      </c>
      <c r="E76" s="16" t="s">
        <v>48</v>
      </c>
      <c r="F76" s="17" t="n">
        <v>2</v>
      </c>
      <c r="G76" s="18" t="n">
        <v>9.89036069069882</v>
      </c>
      <c r="H76" s="19" t="n">
        <v>3.93446537889533E-020</v>
      </c>
      <c r="I76" s="19" t="n">
        <v>4.56397983951859E-018</v>
      </c>
      <c r="J76" s="20" t="str">
        <f aca="false">IF(G76&lt;0,"QUANTUM","Classical")</f>
        <v>Classical</v>
      </c>
      <c r="K76" s="21" t="str">
        <f aca="false">IF(H76&lt;0.05,"yes","no")</f>
        <v>yes</v>
      </c>
      <c r="L76" s="21"/>
    </row>
    <row r="77" customFormat="false" ht="15" hidden="false" customHeight="false" outlineLevel="0" collapsed="false">
      <c r="A77" s="16" t="s">
        <v>51</v>
      </c>
      <c r="B77" s="17" t="n">
        <v>4</v>
      </c>
      <c r="C77" s="16" t="s">
        <v>46</v>
      </c>
      <c r="D77" s="17" t="s">
        <v>47</v>
      </c>
      <c r="E77" s="16" t="s">
        <v>48</v>
      </c>
      <c r="F77" s="17" t="n">
        <v>3</v>
      </c>
      <c r="G77" s="18" t="n">
        <v>11.764797624473</v>
      </c>
      <c r="H77" s="19" t="n">
        <v>1.67730816549563E-026</v>
      </c>
      <c r="I77" s="19" t="n">
        <v>2.90174312630743E-024</v>
      </c>
      <c r="J77" s="20" t="str">
        <f aca="false">IF(G77&lt;0,"QUANTUM","Classical")</f>
        <v>Classical</v>
      </c>
      <c r="K77" s="21" t="str">
        <f aca="false">IF(H77&lt;0.05,"yes","no")</f>
        <v>yes</v>
      </c>
      <c r="L77" s="21"/>
    </row>
    <row r="78" customFormat="false" ht="15" hidden="false" customHeight="false" outlineLevel="0" collapsed="false">
      <c r="A78" s="16" t="s">
        <v>51</v>
      </c>
      <c r="B78" s="17" t="n">
        <v>4</v>
      </c>
      <c r="C78" s="16" t="s">
        <v>46</v>
      </c>
      <c r="D78" s="17" t="s">
        <v>47</v>
      </c>
      <c r="E78" s="16" t="s">
        <v>48</v>
      </c>
      <c r="F78" s="17" t="n">
        <v>4</v>
      </c>
      <c r="G78" s="18" t="n">
        <v>9.93929555808381</v>
      </c>
      <c r="H78" s="19" t="n">
        <v>2.72189489748173E-020</v>
      </c>
      <c r="I78" s="19" t="n">
        <v>3.26627387697808E-018</v>
      </c>
      <c r="J78" s="20" t="str">
        <f aca="false">IF(G78&lt;0,"QUANTUM","Classical")</f>
        <v>Classical</v>
      </c>
      <c r="K78" s="21" t="str">
        <f aca="false">IF(H78&lt;0.05,"yes","no")</f>
        <v>yes</v>
      </c>
      <c r="L78" s="21"/>
    </row>
    <row r="79" customFormat="false" ht="15" hidden="false" customHeight="false" outlineLevel="0" collapsed="false">
      <c r="A79" s="16" t="s">
        <v>51</v>
      </c>
      <c r="B79" s="17" t="n">
        <v>4</v>
      </c>
      <c r="C79" s="16" t="s">
        <v>46</v>
      </c>
      <c r="D79" s="17" t="s">
        <v>47</v>
      </c>
      <c r="E79" s="16" t="s">
        <v>48</v>
      </c>
      <c r="F79" s="17" t="n">
        <v>5</v>
      </c>
      <c r="G79" s="18" t="n">
        <v>11.5188982705916</v>
      </c>
      <c r="H79" s="19" t="n">
        <v>1.21720027270373E-025</v>
      </c>
      <c r="I79" s="19" t="n">
        <v>2.03272445541523E-023</v>
      </c>
      <c r="J79" s="20" t="str">
        <f aca="false">IF(G79&lt;0,"QUANTUM","Classical")</f>
        <v>Classical</v>
      </c>
      <c r="K79" s="21" t="str">
        <f aca="false">IF(H79&lt;0.05,"yes","no")</f>
        <v>yes</v>
      </c>
      <c r="L79" s="21"/>
    </row>
    <row r="80" customFormat="false" ht="15" hidden="false" customHeight="false" outlineLevel="0" collapsed="false">
      <c r="A80" s="16" t="s">
        <v>51</v>
      </c>
      <c r="B80" s="17" t="n">
        <v>4</v>
      </c>
      <c r="C80" s="16" t="s">
        <v>46</v>
      </c>
      <c r="D80" s="17" t="s">
        <v>47</v>
      </c>
      <c r="E80" s="16" t="s">
        <v>48</v>
      </c>
      <c r="F80" s="17" t="n">
        <v>6</v>
      </c>
      <c r="G80" s="18" t="n">
        <v>9.65474094495968</v>
      </c>
      <c r="H80" s="19" t="n">
        <v>2.29033125515186E-019</v>
      </c>
      <c r="I80" s="19" t="n">
        <v>2.29033125515186E-017</v>
      </c>
      <c r="J80" s="20" t="str">
        <f aca="false">IF(G80&lt;0,"QUANTUM","Classical")</f>
        <v>Classical</v>
      </c>
      <c r="K80" s="21" t="str">
        <f aca="false">IF(H80&lt;0.05,"yes","no")</f>
        <v>yes</v>
      </c>
      <c r="L80" s="21"/>
    </row>
    <row r="81" customFormat="false" ht="15" hidden="false" customHeight="false" outlineLevel="0" collapsed="false">
      <c r="A81" s="16" t="s">
        <v>51</v>
      </c>
      <c r="B81" s="17" t="n">
        <v>4</v>
      </c>
      <c r="C81" s="16" t="s">
        <v>46</v>
      </c>
      <c r="D81" s="17" t="s">
        <v>47</v>
      </c>
      <c r="E81" s="16" t="s">
        <v>48</v>
      </c>
      <c r="F81" s="17" t="n">
        <v>7</v>
      </c>
      <c r="G81" s="18" t="n">
        <v>11.104306298164</v>
      </c>
      <c r="H81" s="19" t="n">
        <v>3.31952893437864E-024</v>
      </c>
      <c r="I81" s="19" t="n">
        <v>5.17846513763067E-022</v>
      </c>
      <c r="J81" s="20" t="str">
        <f aca="false">IF(G81&lt;0,"QUANTUM","Classical")</f>
        <v>Classical</v>
      </c>
      <c r="K81" s="21" t="str">
        <f aca="false">IF(H81&lt;0.05,"yes","no")</f>
        <v>yes</v>
      </c>
      <c r="L81" s="21"/>
    </row>
    <row r="82" customFormat="false" ht="15" hidden="false" customHeight="false" outlineLevel="0" collapsed="false">
      <c r="A82" s="16" t="s">
        <v>51</v>
      </c>
      <c r="B82" s="17" t="n">
        <v>4</v>
      </c>
      <c r="C82" s="16" t="s">
        <v>46</v>
      </c>
      <c r="D82" s="17" t="s">
        <v>47</v>
      </c>
      <c r="E82" s="16" t="s">
        <v>48</v>
      </c>
      <c r="F82" s="17" t="n">
        <v>8</v>
      </c>
      <c r="G82" s="18" t="n">
        <v>11.2780931925532</v>
      </c>
      <c r="H82" s="19" t="n">
        <v>8.35080400839204E-025</v>
      </c>
      <c r="I82" s="19" t="n">
        <v>1.32777783733433E-022</v>
      </c>
      <c r="J82" s="20" t="str">
        <f aca="false">IF(G82&lt;0,"QUANTUM","Classical")</f>
        <v>Classical</v>
      </c>
      <c r="K82" s="21" t="str">
        <f aca="false">IF(H82&lt;0.05,"yes","no")</f>
        <v>yes</v>
      </c>
      <c r="L82" s="21"/>
    </row>
    <row r="83" customFormat="false" ht="15" hidden="false" customHeight="false" outlineLevel="0" collapsed="false">
      <c r="A83" s="16" t="s">
        <v>51</v>
      </c>
      <c r="B83" s="17" t="n">
        <v>4</v>
      </c>
      <c r="C83" s="16" t="s">
        <v>46</v>
      </c>
      <c r="D83" s="17" t="s">
        <v>47</v>
      </c>
      <c r="E83" s="16" t="s">
        <v>48</v>
      </c>
      <c r="F83" s="17" t="n">
        <v>9</v>
      </c>
      <c r="G83" s="18" t="n">
        <v>10.5328841955903</v>
      </c>
      <c r="H83" s="19" t="n">
        <v>2.91493094347055E-022</v>
      </c>
      <c r="I83" s="19" t="n">
        <v>4.16835124916289E-020</v>
      </c>
      <c r="J83" s="20" t="str">
        <f aca="false">IF(G83&lt;0,"QUANTUM","Classical")</f>
        <v>Classical</v>
      </c>
      <c r="K83" s="21" t="str">
        <f aca="false">IF(H83&lt;0.05,"yes","no")</f>
        <v>yes</v>
      </c>
      <c r="L83" s="21"/>
    </row>
    <row r="84" customFormat="false" ht="15" hidden="false" customHeight="false" outlineLevel="0" collapsed="false">
      <c r="A84" s="16" t="s">
        <v>51</v>
      </c>
      <c r="B84" s="17" t="n">
        <v>6</v>
      </c>
      <c r="C84" s="16" t="s">
        <v>46</v>
      </c>
      <c r="D84" s="17" t="s">
        <v>47</v>
      </c>
      <c r="E84" s="16" t="s">
        <v>48</v>
      </c>
      <c r="F84" s="17" t="n">
        <v>0</v>
      </c>
      <c r="G84" s="18" t="n">
        <v>10.617105897319</v>
      </c>
      <c r="H84" s="19" t="n">
        <v>1.51676317952377E-022</v>
      </c>
      <c r="I84" s="19" t="n">
        <v>2.19930661030947E-020</v>
      </c>
      <c r="J84" s="20" t="str">
        <f aca="false">IF(G84&lt;0,"QUANTUM","Classical")</f>
        <v>Classical</v>
      </c>
      <c r="K84" s="21" t="str">
        <f aca="false">IF(H84&lt;0.05,"yes","no")</f>
        <v>yes</v>
      </c>
      <c r="L84" s="21"/>
    </row>
    <row r="85" customFormat="false" ht="15" hidden="false" customHeight="false" outlineLevel="0" collapsed="false">
      <c r="A85" s="16" t="s">
        <v>51</v>
      </c>
      <c r="B85" s="17" t="n">
        <v>6</v>
      </c>
      <c r="C85" s="16" t="s">
        <v>46</v>
      </c>
      <c r="D85" s="17" t="s">
        <v>47</v>
      </c>
      <c r="E85" s="16" t="s">
        <v>48</v>
      </c>
      <c r="F85" s="17" t="n">
        <v>1</v>
      </c>
      <c r="G85" s="18" t="n">
        <v>9.55965622432118</v>
      </c>
      <c r="H85" s="19" t="n">
        <v>4.63446432392274E-019</v>
      </c>
      <c r="I85" s="19" t="n">
        <v>4.44087852470885E-017</v>
      </c>
      <c r="J85" s="20" t="str">
        <f aca="false">IF(G85&lt;0,"QUANTUM","Classical")</f>
        <v>Classical</v>
      </c>
      <c r="K85" s="21" t="str">
        <f aca="false">IF(H85&lt;0.05,"yes","no")</f>
        <v>yes</v>
      </c>
      <c r="L85" s="21"/>
    </row>
    <row r="86" customFormat="false" ht="15" hidden="false" customHeight="false" outlineLevel="0" collapsed="false">
      <c r="A86" s="16" t="s">
        <v>51</v>
      </c>
      <c r="B86" s="17" t="n">
        <v>6</v>
      </c>
      <c r="C86" s="16" t="s">
        <v>46</v>
      </c>
      <c r="D86" s="17" t="s">
        <v>47</v>
      </c>
      <c r="E86" s="16" t="s">
        <v>48</v>
      </c>
      <c r="F86" s="17" t="n">
        <v>2</v>
      </c>
      <c r="G86" s="18" t="n">
        <v>11.6204723970048</v>
      </c>
      <c r="H86" s="19" t="n">
        <v>5.37782791148891E-026</v>
      </c>
      <c r="I86" s="19" t="n">
        <v>9.14230744953115E-024</v>
      </c>
      <c r="J86" s="20" t="str">
        <f aca="false">IF(G86&lt;0,"QUANTUM","Classical")</f>
        <v>Classical</v>
      </c>
      <c r="K86" s="21" t="str">
        <f aca="false">IF(H86&lt;0.05,"yes","no")</f>
        <v>yes</v>
      </c>
      <c r="L86" s="21"/>
    </row>
    <row r="87" customFormat="false" ht="15" hidden="false" customHeight="false" outlineLevel="0" collapsed="false">
      <c r="A87" s="16" t="s">
        <v>51</v>
      </c>
      <c r="B87" s="17" t="n">
        <v>6</v>
      </c>
      <c r="C87" s="16" t="s">
        <v>46</v>
      </c>
      <c r="D87" s="17" t="s">
        <v>47</v>
      </c>
      <c r="E87" s="16" t="s">
        <v>48</v>
      </c>
      <c r="F87" s="17" t="n">
        <v>3</v>
      </c>
      <c r="G87" s="18" t="n">
        <v>11.7542474563058</v>
      </c>
      <c r="H87" s="19" t="n">
        <v>1.82673749257367E-026</v>
      </c>
      <c r="I87" s="19" t="n">
        <v>3.14198848722671E-024</v>
      </c>
      <c r="J87" s="20" t="str">
        <f aca="false">IF(G87&lt;0,"QUANTUM","Classical")</f>
        <v>Classical</v>
      </c>
      <c r="K87" s="21" t="str">
        <f aca="false">IF(H87&lt;0.05,"yes","no")</f>
        <v>yes</v>
      </c>
      <c r="L87" s="21"/>
    </row>
    <row r="88" customFormat="false" ht="15" hidden="false" customHeight="false" outlineLevel="0" collapsed="false">
      <c r="A88" s="16" t="s">
        <v>51</v>
      </c>
      <c r="B88" s="17" t="n">
        <v>6</v>
      </c>
      <c r="C88" s="16" t="s">
        <v>46</v>
      </c>
      <c r="D88" s="17" t="s">
        <v>47</v>
      </c>
      <c r="E88" s="16" t="s">
        <v>48</v>
      </c>
      <c r="F88" s="17" t="n">
        <v>4</v>
      </c>
      <c r="G88" s="18" t="n">
        <v>11.3606644714915</v>
      </c>
      <c r="H88" s="19" t="n">
        <v>4.32211052105997E-025</v>
      </c>
      <c r="I88" s="19" t="n">
        <v>7.08826125453835E-023</v>
      </c>
      <c r="J88" s="20" t="str">
        <f aca="false">IF(G88&lt;0,"QUANTUM","Classical")</f>
        <v>Classical</v>
      </c>
      <c r="K88" s="21" t="str">
        <f aca="false">IF(H88&lt;0.05,"yes","no")</f>
        <v>yes</v>
      </c>
      <c r="L88" s="21"/>
    </row>
    <row r="89" customFormat="false" ht="15" hidden="false" customHeight="false" outlineLevel="0" collapsed="false">
      <c r="A89" s="16" t="s">
        <v>51</v>
      </c>
      <c r="B89" s="17" t="n">
        <v>6</v>
      </c>
      <c r="C89" s="16" t="s">
        <v>46</v>
      </c>
      <c r="D89" s="17" t="s">
        <v>47</v>
      </c>
      <c r="E89" s="16" t="s">
        <v>48</v>
      </c>
      <c r="F89" s="17" t="n">
        <v>5</v>
      </c>
      <c r="G89" s="18" t="n">
        <v>11.5233356901143</v>
      </c>
      <c r="H89" s="19" t="n">
        <v>1.17459436763343E-025</v>
      </c>
      <c r="I89" s="19" t="n">
        <v>1.97331853762417E-023</v>
      </c>
      <c r="J89" s="20" t="str">
        <f aca="false">IF(G89&lt;0,"QUANTUM","Classical")</f>
        <v>Classical</v>
      </c>
      <c r="K89" s="21" t="str">
        <f aca="false">IF(H89&lt;0.05,"yes","no")</f>
        <v>yes</v>
      </c>
      <c r="L89" s="21"/>
    </row>
    <row r="90" customFormat="false" ht="15" hidden="false" customHeight="false" outlineLevel="0" collapsed="false">
      <c r="A90" s="16" t="s">
        <v>51</v>
      </c>
      <c r="B90" s="17" t="n">
        <v>6</v>
      </c>
      <c r="C90" s="16" t="s">
        <v>46</v>
      </c>
      <c r="D90" s="17" t="s">
        <v>47</v>
      </c>
      <c r="E90" s="16" t="s">
        <v>48</v>
      </c>
      <c r="F90" s="17" t="n">
        <v>6</v>
      </c>
      <c r="G90" s="18" t="n">
        <v>10.3098588695708</v>
      </c>
      <c r="H90" s="19" t="n">
        <v>1.6257375485386E-021</v>
      </c>
      <c r="I90" s="19" t="n">
        <v>2.22726044149788E-019</v>
      </c>
      <c r="J90" s="20" t="str">
        <f aca="false">IF(G90&lt;0,"QUANTUM","Classical")</f>
        <v>Classical</v>
      </c>
      <c r="K90" s="21" t="str">
        <f aca="false">IF(H90&lt;0.05,"yes","no")</f>
        <v>yes</v>
      </c>
      <c r="L90" s="21"/>
    </row>
    <row r="91" customFormat="false" ht="15" hidden="false" customHeight="false" outlineLevel="0" collapsed="false">
      <c r="A91" s="16" t="s">
        <v>51</v>
      </c>
      <c r="B91" s="17" t="n">
        <v>6</v>
      </c>
      <c r="C91" s="16" t="s">
        <v>46</v>
      </c>
      <c r="D91" s="17" t="s">
        <v>47</v>
      </c>
      <c r="E91" s="16" t="s">
        <v>48</v>
      </c>
      <c r="F91" s="17" t="n">
        <v>7</v>
      </c>
      <c r="G91" s="18" t="n">
        <v>11.9176569699388</v>
      </c>
      <c r="H91" s="19" t="n">
        <v>4.8563933574864E-027</v>
      </c>
      <c r="I91" s="19" t="n">
        <v>8.54725230917607E-025</v>
      </c>
      <c r="J91" s="20" t="str">
        <f aca="false">IF(G91&lt;0,"QUANTUM","Classical")</f>
        <v>Classical</v>
      </c>
      <c r="K91" s="21" t="str">
        <f aca="false">IF(H91&lt;0.05,"yes","no")</f>
        <v>yes</v>
      </c>
      <c r="L91" s="21"/>
    </row>
    <row r="92" customFormat="false" ht="15" hidden="false" customHeight="false" outlineLevel="0" collapsed="false">
      <c r="A92" s="16" t="s">
        <v>51</v>
      </c>
      <c r="B92" s="17" t="n">
        <v>6</v>
      </c>
      <c r="C92" s="16" t="s">
        <v>46</v>
      </c>
      <c r="D92" s="17" t="s">
        <v>47</v>
      </c>
      <c r="E92" s="16" t="s">
        <v>48</v>
      </c>
      <c r="F92" s="17" t="n">
        <v>8</v>
      </c>
      <c r="G92" s="18" t="n">
        <v>10.7507348315293</v>
      </c>
      <c r="H92" s="19" t="n">
        <v>5.35515231716675E-023</v>
      </c>
      <c r="I92" s="19" t="n">
        <v>7.97917695257846E-021</v>
      </c>
      <c r="J92" s="20" t="str">
        <f aca="false">IF(G92&lt;0,"QUANTUM","Classical")</f>
        <v>Classical</v>
      </c>
      <c r="K92" s="21" t="str">
        <f aca="false">IF(H92&lt;0.05,"yes","no")</f>
        <v>yes</v>
      </c>
      <c r="L92" s="21"/>
    </row>
    <row r="93" customFormat="false" ht="15" hidden="false" customHeight="false" outlineLevel="0" collapsed="false">
      <c r="A93" s="16" t="s">
        <v>51</v>
      </c>
      <c r="B93" s="17" t="n">
        <v>6</v>
      </c>
      <c r="C93" s="16" t="s">
        <v>46</v>
      </c>
      <c r="D93" s="17" t="s">
        <v>47</v>
      </c>
      <c r="E93" s="16" t="s">
        <v>48</v>
      </c>
      <c r="F93" s="17" t="n">
        <v>9</v>
      </c>
      <c r="G93" s="18" t="n">
        <v>10.3436512746648</v>
      </c>
      <c r="H93" s="19" t="n">
        <v>1.25434421202417E-021</v>
      </c>
      <c r="I93" s="19" t="n">
        <v>1.7435384547136E-019</v>
      </c>
      <c r="J93" s="20" t="str">
        <f aca="false">IF(G93&lt;0,"QUANTUM","Classical")</f>
        <v>Classical</v>
      </c>
      <c r="K93" s="21" t="str">
        <f aca="false">IF(H93&lt;0.05,"yes","no")</f>
        <v>yes</v>
      </c>
      <c r="L93" s="21"/>
    </row>
    <row r="94" customFormat="false" ht="15" hidden="false" customHeight="false" outlineLevel="0" collapsed="false">
      <c r="A94" s="16" t="s">
        <v>51</v>
      </c>
      <c r="B94" s="17" t="n">
        <v>8</v>
      </c>
      <c r="C94" s="16" t="s">
        <v>46</v>
      </c>
      <c r="D94" s="17" t="s">
        <v>47</v>
      </c>
      <c r="E94" s="16" t="s">
        <v>48</v>
      </c>
      <c r="F94" s="17" t="n">
        <v>0</v>
      </c>
      <c r="G94" s="18" t="n">
        <v>12.2327242121363</v>
      </c>
      <c r="H94" s="19" t="n">
        <v>5.09062743993421E-027</v>
      </c>
      <c r="I94" s="19" t="n">
        <v>8.90859801988486E-025</v>
      </c>
      <c r="J94" s="20" t="str">
        <f aca="false">IF(G94&lt;0,"QUANTUM","Classical")</f>
        <v>Classical</v>
      </c>
      <c r="K94" s="21" t="str">
        <f aca="false">IF(H94&lt;0.05,"yes","no")</f>
        <v>yes</v>
      </c>
      <c r="L94" s="21"/>
    </row>
    <row r="95" customFormat="false" ht="15" hidden="false" customHeight="false" outlineLevel="0" collapsed="false">
      <c r="A95" s="16" t="s">
        <v>51</v>
      </c>
      <c r="B95" s="17" t="n">
        <v>8</v>
      </c>
      <c r="C95" s="16" t="s">
        <v>46</v>
      </c>
      <c r="D95" s="17" t="s">
        <v>47</v>
      </c>
      <c r="E95" s="16" t="s">
        <v>48</v>
      </c>
      <c r="F95" s="17" t="n">
        <v>1</v>
      </c>
      <c r="G95" s="18" t="n">
        <v>9.75461072926586</v>
      </c>
      <c r="H95" s="19" t="n">
        <v>3.97223190947852E-019</v>
      </c>
      <c r="I95" s="19" t="n">
        <v>3.85306495219416E-017</v>
      </c>
      <c r="J95" s="20" t="str">
        <f aca="false">IF(G95&lt;0,"QUANTUM","Classical")</f>
        <v>Classical</v>
      </c>
      <c r="K95" s="21" t="str">
        <f aca="false">IF(H95&lt;0.05,"yes","no")</f>
        <v>yes</v>
      </c>
      <c r="L95" s="21"/>
    </row>
    <row r="96" customFormat="false" ht="15" hidden="false" customHeight="false" outlineLevel="0" collapsed="false">
      <c r="A96" s="16" t="s">
        <v>51</v>
      </c>
      <c r="B96" s="17" t="n">
        <v>8</v>
      </c>
      <c r="C96" s="16" t="s">
        <v>46</v>
      </c>
      <c r="D96" s="17" t="s">
        <v>47</v>
      </c>
      <c r="E96" s="16" t="s">
        <v>48</v>
      </c>
      <c r="F96" s="17" t="n">
        <v>2</v>
      </c>
      <c r="G96" s="18" t="n">
        <v>11.8094388988814</v>
      </c>
      <c r="H96" s="19" t="n">
        <v>1.23308904350892E-025</v>
      </c>
      <c r="I96" s="19" t="n">
        <v>2.04692781222481E-023</v>
      </c>
      <c r="J96" s="20" t="str">
        <f aca="false">IF(G96&lt;0,"QUANTUM","Classical")</f>
        <v>Classical</v>
      </c>
      <c r="K96" s="21" t="str">
        <f aca="false">IF(H96&lt;0.05,"yes","no")</f>
        <v>yes</v>
      </c>
      <c r="L96" s="21"/>
    </row>
    <row r="97" customFormat="false" ht="15" hidden="false" customHeight="false" outlineLevel="0" collapsed="false">
      <c r="A97" s="16" t="s">
        <v>51</v>
      </c>
      <c r="B97" s="17" t="n">
        <v>8</v>
      </c>
      <c r="C97" s="16" t="s">
        <v>46</v>
      </c>
      <c r="D97" s="17" t="s">
        <v>47</v>
      </c>
      <c r="E97" s="16" t="s">
        <v>48</v>
      </c>
      <c r="F97" s="17" t="n">
        <v>3</v>
      </c>
      <c r="G97" s="18" t="n">
        <v>11.9441034114234</v>
      </c>
      <c r="H97" s="19" t="n">
        <v>4.48591093873236E-026</v>
      </c>
      <c r="I97" s="19" t="n">
        <v>7.67090770523234E-024</v>
      </c>
      <c r="J97" s="20" t="str">
        <f aca="false">IF(G97&lt;0,"QUANTUM","Classical")</f>
        <v>Classical</v>
      </c>
      <c r="K97" s="21" t="str">
        <f aca="false">IF(H97&lt;0.05,"yes","no")</f>
        <v>yes</v>
      </c>
      <c r="L97" s="21"/>
    </row>
    <row r="98" customFormat="false" ht="15" hidden="false" customHeight="false" outlineLevel="0" collapsed="false">
      <c r="A98" s="16" t="s">
        <v>51</v>
      </c>
      <c r="B98" s="17" t="n">
        <v>8</v>
      </c>
      <c r="C98" s="16" t="s">
        <v>46</v>
      </c>
      <c r="D98" s="17" t="s">
        <v>47</v>
      </c>
      <c r="E98" s="16" t="s">
        <v>48</v>
      </c>
      <c r="F98" s="17" t="n">
        <v>4</v>
      </c>
      <c r="G98" s="18" t="n">
        <v>13.2939286037786</v>
      </c>
      <c r="H98" s="19" t="n">
        <v>1.56592657712435E-030</v>
      </c>
      <c r="I98" s="19" t="n">
        <v>3.14751242001995E-028</v>
      </c>
      <c r="J98" s="20" t="str">
        <f aca="false">IF(G98&lt;0,"QUANTUM","Classical")</f>
        <v>Classical</v>
      </c>
      <c r="K98" s="21" t="str">
        <f aca="false">IF(H98&lt;0.05,"yes","no")</f>
        <v>yes</v>
      </c>
      <c r="L98" s="21"/>
    </row>
    <row r="99" customFormat="false" ht="15" hidden="false" customHeight="false" outlineLevel="0" collapsed="false">
      <c r="A99" s="16" t="s">
        <v>51</v>
      </c>
      <c r="B99" s="17" t="n">
        <v>8</v>
      </c>
      <c r="C99" s="16" t="s">
        <v>46</v>
      </c>
      <c r="D99" s="17" t="s">
        <v>47</v>
      </c>
      <c r="E99" s="16" t="s">
        <v>48</v>
      </c>
      <c r="F99" s="17" t="n">
        <v>5</v>
      </c>
      <c r="G99" s="18" t="n">
        <v>13.5693399588646</v>
      </c>
      <c r="H99" s="19" t="n">
        <v>1.88788910149049E-031</v>
      </c>
      <c r="I99" s="19" t="n">
        <v>3.92680933110022E-029</v>
      </c>
      <c r="J99" s="20" t="str">
        <f aca="false">IF(G99&lt;0,"QUANTUM","Classical")</f>
        <v>Classical</v>
      </c>
      <c r="K99" s="21" t="str">
        <f aca="false">IF(H99&lt;0.05,"yes","no")</f>
        <v>yes</v>
      </c>
      <c r="L99" s="21"/>
    </row>
    <row r="100" customFormat="false" ht="15" hidden="false" customHeight="false" outlineLevel="0" collapsed="false">
      <c r="A100" s="16" t="s">
        <v>51</v>
      </c>
      <c r="B100" s="17" t="n">
        <v>8</v>
      </c>
      <c r="C100" s="16" t="s">
        <v>46</v>
      </c>
      <c r="D100" s="17" t="s">
        <v>47</v>
      </c>
      <c r="E100" s="16" t="s">
        <v>48</v>
      </c>
      <c r="F100" s="17" t="n">
        <v>6</v>
      </c>
      <c r="G100" s="18" t="n">
        <v>10.6343776547916</v>
      </c>
      <c r="H100" s="19" t="n">
        <v>7.30006215193438E-022</v>
      </c>
      <c r="I100" s="19" t="n">
        <v>1.02200870127081E-019</v>
      </c>
      <c r="J100" s="20" t="str">
        <f aca="false">IF(G100&lt;0,"QUANTUM","Classical")</f>
        <v>Classical</v>
      </c>
      <c r="K100" s="21" t="str">
        <f aca="false">IF(H100&lt;0.05,"yes","no")</f>
        <v>yes</v>
      </c>
      <c r="L100" s="21"/>
    </row>
    <row r="101" customFormat="false" ht="15" hidden="false" customHeight="false" outlineLevel="0" collapsed="false">
      <c r="A101" s="16" t="s">
        <v>51</v>
      </c>
      <c r="B101" s="17" t="n">
        <v>8</v>
      </c>
      <c r="C101" s="16" t="s">
        <v>46</v>
      </c>
      <c r="D101" s="17" t="s">
        <v>47</v>
      </c>
      <c r="E101" s="16" t="s">
        <v>48</v>
      </c>
      <c r="F101" s="17" t="n">
        <v>7</v>
      </c>
      <c r="G101" s="18" t="n">
        <v>12.2714200755518</v>
      </c>
      <c r="H101" s="19" t="n">
        <v>3.79913379603109E-027</v>
      </c>
      <c r="I101" s="19" t="n">
        <v>6.80044949489565E-025</v>
      </c>
      <c r="J101" s="20" t="str">
        <f aca="false">IF(G101&lt;0,"QUANTUM","Classical")</f>
        <v>Classical</v>
      </c>
      <c r="K101" s="21" t="str">
        <f aca="false">IF(H101&lt;0.05,"yes","no")</f>
        <v>yes</v>
      </c>
      <c r="L101" s="21"/>
    </row>
    <row r="102" customFormat="false" ht="15" hidden="false" customHeight="false" outlineLevel="0" collapsed="false">
      <c r="A102" s="16" t="s">
        <v>51</v>
      </c>
      <c r="B102" s="17" t="n">
        <v>8</v>
      </c>
      <c r="C102" s="16" t="s">
        <v>46</v>
      </c>
      <c r="D102" s="17" t="s">
        <v>47</v>
      </c>
      <c r="E102" s="16" t="s">
        <v>48</v>
      </c>
      <c r="F102" s="17" t="n">
        <v>8</v>
      </c>
      <c r="G102" s="18" t="n">
        <v>11.1676390174697</v>
      </c>
      <c r="H102" s="19" t="n">
        <v>1.46495989019543E-023</v>
      </c>
      <c r="I102" s="19" t="n">
        <v>2.22673903309705E-021</v>
      </c>
      <c r="J102" s="20" t="str">
        <f aca="false">IF(G102&lt;0,"QUANTUM","Classical")</f>
        <v>Classical</v>
      </c>
      <c r="K102" s="21" t="str">
        <f aca="false">IF(H102&lt;0.05,"yes","no")</f>
        <v>yes</v>
      </c>
      <c r="L102" s="21"/>
    </row>
    <row r="103" customFormat="false" ht="15" hidden="false" customHeight="false" outlineLevel="0" collapsed="false">
      <c r="A103" s="16" t="s">
        <v>51</v>
      </c>
      <c r="B103" s="17" t="n">
        <v>8</v>
      </c>
      <c r="C103" s="16" t="s">
        <v>46</v>
      </c>
      <c r="D103" s="17" t="s">
        <v>47</v>
      </c>
      <c r="E103" s="16" t="s">
        <v>48</v>
      </c>
      <c r="F103" s="17" t="n">
        <v>9</v>
      </c>
      <c r="G103" s="18" t="n">
        <v>11.6336039818038</v>
      </c>
      <c r="H103" s="19" t="n">
        <v>4.59752810133239E-025</v>
      </c>
      <c r="I103" s="19" t="n">
        <v>7.4939708051718E-023</v>
      </c>
      <c r="J103" s="20" t="str">
        <f aca="false">IF(G103&lt;0,"QUANTUM","Classical")</f>
        <v>Classical</v>
      </c>
      <c r="K103" s="21" t="str">
        <f aca="false">IF(H103&lt;0.05,"yes","no")</f>
        <v>yes</v>
      </c>
      <c r="L103" s="21"/>
    </row>
    <row r="104" customFormat="false" ht="15" hidden="false" customHeight="false" outlineLevel="0" collapsed="false">
      <c r="A104" s="16" t="s">
        <v>51</v>
      </c>
      <c r="B104" s="17" t="n">
        <v>10</v>
      </c>
      <c r="C104" s="16" t="s">
        <v>46</v>
      </c>
      <c r="D104" s="17" t="s">
        <v>47</v>
      </c>
      <c r="E104" s="16" t="s">
        <v>48</v>
      </c>
      <c r="F104" s="17" t="n">
        <v>0</v>
      </c>
      <c r="G104" s="18" t="n">
        <v>7.16045293586861</v>
      </c>
      <c r="H104" s="19" t="n">
        <v>7.42958700458255E-011</v>
      </c>
      <c r="I104" s="19" t="n">
        <v>2.08028436128312E-009</v>
      </c>
      <c r="J104" s="20" t="str">
        <f aca="false">IF(G104&lt;0,"QUANTUM","Classical")</f>
        <v>Classical</v>
      </c>
      <c r="K104" s="21" t="str">
        <f aca="false">IF(H104&lt;0.05,"yes","no")</f>
        <v>yes</v>
      </c>
      <c r="L104" s="21"/>
    </row>
    <row r="105" customFormat="false" ht="15" hidden="false" customHeight="false" outlineLevel="0" collapsed="false">
      <c r="A105" s="16" t="s">
        <v>51</v>
      </c>
      <c r="B105" s="17" t="n">
        <v>10</v>
      </c>
      <c r="C105" s="16" t="s">
        <v>46</v>
      </c>
      <c r="D105" s="17" t="s">
        <v>47</v>
      </c>
      <c r="E105" s="16" t="s">
        <v>48</v>
      </c>
      <c r="F105" s="17" t="n">
        <v>1</v>
      </c>
      <c r="G105" s="18" t="n">
        <v>7.29217272833411</v>
      </c>
      <c r="H105" s="19" t="n">
        <v>3.79480027891367E-011</v>
      </c>
      <c r="I105" s="19" t="n">
        <v>1.29023209483065E-009</v>
      </c>
      <c r="J105" s="20" t="str">
        <f aca="false">IF(G105&lt;0,"QUANTUM","Classical")</f>
        <v>Classical</v>
      </c>
      <c r="K105" s="21" t="str">
        <f aca="false">IF(H105&lt;0.05,"yes","no")</f>
        <v>yes</v>
      </c>
      <c r="L105" s="21"/>
    </row>
    <row r="106" customFormat="false" ht="15" hidden="false" customHeight="false" outlineLevel="0" collapsed="false">
      <c r="A106" s="16" t="s">
        <v>51</v>
      </c>
      <c r="B106" s="17" t="n">
        <v>10</v>
      </c>
      <c r="C106" s="16" t="s">
        <v>46</v>
      </c>
      <c r="D106" s="17" t="s">
        <v>47</v>
      </c>
      <c r="E106" s="16" t="s">
        <v>48</v>
      </c>
      <c r="F106" s="17" t="n">
        <v>2</v>
      </c>
      <c r="G106" s="18" t="n">
        <v>7.2615989792797</v>
      </c>
      <c r="H106" s="19" t="n">
        <v>4.43689938512943E-011</v>
      </c>
      <c r="I106" s="19" t="n">
        <v>1.33106981553883E-009</v>
      </c>
      <c r="J106" s="20" t="str">
        <f aca="false">IF(G106&lt;0,"QUANTUM","Classical")</f>
        <v>Classical</v>
      </c>
      <c r="K106" s="21" t="str">
        <f aca="false">IF(H106&lt;0.05,"yes","no")</f>
        <v>yes</v>
      </c>
      <c r="L106" s="21"/>
    </row>
    <row r="107" customFormat="false" ht="15" hidden="false" customHeight="false" outlineLevel="0" collapsed="false">
      <c r="A107" s="16" t="s">
        <v>51</v>
      </c>
      <c r="B107" s="17" t="n">
        <v>10</v>
      </c>
      <c r="C107" s="16" t="s">
        <v>46</v>
      </c>
      <c r="D107" s="17" t="s">
        <v>47</v>
      </c>
      <c r="E107" s="16" t="s">
        <v>48</v>
      </c>
      <c r="F107" s="17" t="n">
        <v>3</v>
      </c>
      <c r="G107" s="18" t="n">
        <v>6.69350086115608</v>
      </c>
      <c r="H107" s="19" t="n">
        <v>7.7473775947052E-010</v>
      </c>
      <c r="I107" s="19" t="n">
        <v>1.54947551894104E-008</v>
      </c>
      <c r="J107" s="20" t="str">
        <f aca="false">IF(G107&lt;0,"QUANTUM","Classical")</f>
        <v>Classical</v>
      </c>
      <c r="K107" s="21" t="str">
        <f aca="false">IF(H107&lt;0.05,"yes","no")</f>
        <v>yes</v>
      </c>
      <c r="L107" s="21"/>
    </row>
    <row r="108" customFormat="false" ht="15" hidden="false" customHeight="false" outlineLevel="0" collapsed="false">
      <c r="A108" s="16" t="s">
        <v>51</v>
      </c>
      <c r="B108" s="17" t="n">
        <v>10</v>
      </c>
      <c r="C108" s="16" t="s">
        <v>46</v>
      </c>
      <c r="D108" s="17" t="s">
        <v>47</v>
      </c>
      <c r="E108" s="16" t="s">
        <v>48</v>
      </c>
      <c r="F108" s="17" t="n">
        <v>4</v>
      </c>
      <c r="G108" s="18" t="n">
        <v>7.36827995350045</v>
      </c>
      <c r="H108" s="19" t="n">
        <v>2.5690049207011E-011</v>
      </c>
      <c r="I108" s="19" t="n">
        <v>9.24841771452396E-010</v>
      </c>
      <c r="J108" s="20" t="str">
        <f aca="false">IF(G108&lt;0,"QUANTUM","Classical")</f>
        <v>Classical</v>
      </c>
      <c r="K108" s="21" t="str">
        <f aca="false">IF(H108&lt;0.05,"yes","no")</f>
        <v>yes</v>
      </c>
      <c r="L108" s="21"/>
    </row>
    <row r="109" customFormat="false" ht="15" hidden="false" customHeight="false" outlineLevel="0" collapsed="false">
      <c r="A109" s="16" t="s">
        <v>45</v>
      </c>
      <c r="B109" s="17" t="n">
        <v>4</v>
      </c>
      <c r="C109" s="16" t="s">
        <v>46</v>
      </c>
      <c r="D109" s="17" t="s">
        <v>52</v>
      </c>
      <c r="E109" s="16" t="s">
        <v>48</v>
      </c>
      <c r="F109" s="17" t="n">
        <v>0</v>
      </c>
      <c r="G109" s="18" t="n">
        <v>13.1869930373204</v>
      </c>
      <c r="H109" s="19" t="n">
        <v>1.36086889056897E-031</v>
      </c>
      <c r="I109" s="19" t="n">
        <v>2.85782467019483E-029</v>
      </c>
      <c r="J109" s="20" t="str">
        <f aca="false">IF(G109&lt;0,"QUANTUM","Classical")</f>
        <v>Classical</v>
      </c>
      <c r="K109" s="21" t="str">
        <f aca="false">IF(H109&lt;0.05,"yes","no")</f>
        <v>yes</v>
      </c>
      <c r="L109" s="21"/>
    </row>
    <row r="110" customFormat="false" ht="15" hidden="false" customHeight="false" outlineLevel="0" collapsed="false">
      <c r="A110" s="16" t="s">
        <v>45</v>
      </c>
      <c r="B110" s="17" t="n">
        <v>4</v>
      </c>
      <c r="C110" s="16" t="s">
        <v>46</v>
      </c>
      <c r="D110" s="17" t="s">
        <v>52</v>
      </c>
      <c r="E110" s="16" t="s">
        <v>48</v>
      </c>
      <c r="F110" s="17" t="n">
        <v>1</v>
      </c>
      <c r="G110" s="18" t="n">
        <v>12.7340231395962</v>
      </c>
      <c r="H110" s="19" t="n">
        <v>5.94005095937482E-030</v>
      </c>
      <c r="I110" s="19" t="n">
        <v>1.14642983515934E-027</v>
      </c>
      <c r="J110" s="20" t="str">
        <f aca="false">IF(G110&lt;0,"QUANTUM","Classical")</f>
        <v>Classical</v>
      </c>
      <c r="K110" s="21" t="str">
        <f aca="false">IF(H110&lt;0.05,"yes","no")</f>
        <v>yes</v>
      </c>
      <c r="L110" s="21"/>
    </row>
    <row r="111" customFormat="false" ht="15" hidden="false" customHeight="false" outlineLevel="0" collapsed="false">
      <c r="A111" s="16" t="s">
        <v>45</v>
      </c>
      <c r="B111" s="17" t="n">
        <v>4</v>
      </c>
      <c r="C111" s="16" t="s">
        <v>46</v>
      </c>
      <c r="D111" s="17" t="s">
        <v>52</v>
      </c>
      <c r="E111" s="16" t="s">
        <v>48</v>
      </c>
      <c r="F111" s="17" t="n">
        <v>2</v>
      </c>
      <c r="G111" s="18" t="n">
        <v>12.8430391789575</v>
      </c>
      <c r="H111" s="19" t="n">
        <v>2.401692471818E-030</v>
      </c>
      <c r="I111" s="19" t="n">
        <v>4.75535109419963E-028</v>
      </c>
      <c r="J111" s="20" t="str">
        <f aca="false">IF(G111&lt;0,"QUANTUM","Classical")</f>
        <v>Classical</v>
      </c>
      <c r="K111" s="21" t="str">
        <f aca="false">IF(H111&lt;0.05,"yes","no")</f>
        <v>yes</v>
      </c>
      <c r="L111" s="21"/>
    </row>
    <row r="112" customFormat="false" ht="15" hidden="false" customHeight="false" outlineLevel="0" collapsed="false">
      <c r="A112" s="16" t="s">
        <v>45</v>
      </c>
      <c r="B112" s="17" t="n">
        <v>4</v>
      </c>
      <c r="C112" s="16" t="s">
        <v>46</v>
      </c>
      <c r="D112" s="17" t="s">
        <v>52</v>
      </c>
      <c r="E112" s="16" t="s">
        <v>48</v>
      </c>
      <c r="F112" s="17" t="n">
        <v>3</v>
      </c>
      <c r="G112" s="18" t="n">
        <v>12.613765349565</v>
      </c>
      <c r="H112" s="19" t="n">
        <v>1.60883245195962E-029</v>
      </c>
      <c r="I112" s="19" t="n">
        <v>3.04869651872666E-027</v>
      </c>
      <c r="J112" s="20" t="str">
        <f aca="false">IF(G112&lt;0,"QUANTUM","Classical")</f>
        <v>Classical</v>
      </c>
      <c r="K112" s="21" t="str">
        <f aca="false">IF(H112&lt;0.05,"yes","no")</f>
        <v>yes</v>
      </c>
      <c r="L112" s="21"/>
    </row>
    <row r="113" customFormat="false" ht="15" hidden="false" customHeight="false" outlineLevel="0" collapsed="false">
      <c r="A113" s="16" t="s">
        <v>45</v>
      </c>
      <c r="B113" s="17" t="n">
        <v>4</v>
      </c>
      <c r="C113" s="16" t="s">
        <v>46</v>
      </c>
      <c r="D113" s="17" t="s">
        <v>52</v>
      </c>
      <c r="E113" s="16" t="s">
        <v>48</v>
      </c>
      <c r="F113" s="17" t="n">
        <v>4</v>
      </c>
      <c r="G113" s="18" t="n">
        <v>13.2357278417099</v>
      </c>
      <c r="H113" s="19" t="n">
        <v>9.04658538154343E-032</v>
      </c>
      <c r="I113" s="19" t="n">
        <v>1.91787610088721E-029</v>
      </c>
      <c r="J113" s="20" t="str">
        <f aca="false">IF(G113&lt;0,"QUANTUM","Classical")</f>
        <v>Classical</v>
      </c>
      <c r="K113" s="21" t="str">
        <f aca="false">IF(H113&lt;0.05,"yes","no")</f>
        <v>yes</v>
      </c>
      <c r="L113" s="21"/>
    </row>
    <row r="114" customFormat="false" ht="15" hidden="false" customHeight="false" outlineLevel="0" collapsed="false">
      <c r="A114" s="16" t="s">
        <v>45</v>
      </c>
      <c r="B114" s="17" t="n">
        <v>4</v>
      </c>
      <c r="C114" s="16" t="s">
        <v>46</v>
      </c>
      <c r="D114" s="17" t="s">
        <v>52</v>
      </c>
      <c r="E114" s="16" t="s">
        <v>48</v>
      </c>
      <c r="F114" s="17" t="n">
        <v>5</v>
      </c>
      <c r="G114" s="18" t="n">
        <v>12.9805980979137</v>
      </c>
      <c r="H114" s="19" t="n">
        <v>7.63775444194526E-031</v>
      </c>
      <c r="I114" s="19" t="n">
        <v>1.56573966059878E-028</v>
      </c>
      <c r="J114" s="20" t="str">
        <f aca="false">IF(G114&lt;0,"QUANTUM","Classical")</f>
        <v>Classical</v>
      </c>
      <c r="K114" s="21" t="str">
        <f aca="false">IF(H114&lt;0.05,"yes","no")</f>
        <v>yes</v>
      </c>
      <c r="L114" s="21"/>
    </row>
    <row r="115" customFormat="false" ht="15" hidden="false" customHeight="false" outlineLevel="0" collapsed="false">
      <c r="A115" s="16" t="s">
        <v>45</v>
      </c>
      <c r="B115" s="17" t="n">
        <v>4</v>
      </c>
      <c r="C115" s="16" t="s">
        <v>46</v>
      </c>
      <c r="D115" s="17" t="s">
        <v>52</v>
      </c>
      <c r="E115" s="16" t="s">
        <v>48</v>
      </c>
      <c r="F115" s="17" t="n">
        <v>6</v>
      </c>
      <c r="G115" s="18" t="n">
        <v>12.9212290112736</v>
      </c>
      <c r="H115" s="19" t="n">
        <v>1.25279536100937E-030</v>
      </c>
      <c r="I115" s="19" t="n">
        <v>2.53064662923893E-028</v>
      </c>
      <c r="J115" s="20" t="str">
        <f aca="false">IF(G115&lt;0,"QUANTUM","Classical")</f>
        <v>Classical</v>
      </c>
      <c r="K115" s="21" t="str">
        <f aca="false">IF(H115&lt;0.05,"yes","no")</f>
        <v>yes</v>
      </c>
      <c r="L115" s="21"/>
    </row>
    <row r="116" customFormat="false" ht="15" hidden="false" customHeight="false" outlineLevel="0" collapsed="false">
      <c r="A116" s="16" t="s">
        <v>45</v>
      </c>
      <c r="B116" s="17" t="n">
        <v>4</v>
      </c>
      <c r="C116" s="16" t="s">
        <v>46</v>
      </c>
      <c r="D116" s="17" t="s">
        <v>52</v>
      </c>
      <c r="E116" s="16" t="s">
        <v>48</v>
      </c>
      <c r="F116" s="17" t="n">
        <v>7</v>
      </c>
      <c r="G116" s="18" t="n">
        <v>12.7426663451628</v>
      </c>
      <c r="H116" s="19" t="n">
        <v>5.52897179133132E-030</v>
      </c>
      <c r="I116" s="19" t="n">
        <v>1.07262052751828E-027</v>
      </c>
      <c r="J116" s="20" t="str">
        <f aca="false">IF(G116&lt;0,"QUANTUM","Classical")</f>
        <v>Classical</v>
      </c>
      <c r="K116" s="21" t="str">
        <f aca="false">IF(H116&lt;0.05,"yes","no")</f>
        <v>yes</v>
      </c>
      <c r="L116" s="21"/>
    </row>
    <row r="117" customFormat="false" ht="15" hidden="false" customHeight="false" outlineLevel="0" collapsed="false">
      <c r="A117" s="16" t="s">
        <v>45</v>
      </c>
      <c r="B117" s="17" t="n">
        <v>4</v>
      </c>
      <c r="C117" s="16" t="s">
        <v>46</v>
      </c>
      <c r="D117" s="17" t="s">
        <v>52</v>
      </c>
      <c r="E117" s="16" t="s">
        <v>48</v>
      </c>
      <c r="F117" s="17" t="n">
        <v>8</v>
      </c>
      <c r="G117" s="18" t="n">
        <v>12.9596919177994</v>
      </c>
      <c r="H117" s="19" t="n">
        <v>9.09233852556134E-031</v>
      </c>
      <c r="I117" s="19" t="n">
        <v>1.84574472068895E-028</v>
      </c>
      <c r="J117" s="20" t="str">
        <f aca="false">IF(G117&lt;0,"QUANTUM","Classical")</f>
        <v>Classical</v>
      </c>
      <c r="K117" s="21" t="str">
        <f aca="false">IF(H117&lt;0.05,"yes","no")</f>
        <v>yes</v>
      </c>
      <c r="L117" s="21"/>
    </row>
    <row r="118" customFormat="false" ht="15" hidden="false" customHeight="false" outlineLevel="0" collapsed="false">
      <c r="A118" s="16" t="s">
        <v>45</v>
      </c>
      <c r="B118" s="17" t="n">
        <v>4</v>
      </c>
      <c r="C118" s="16" t="s">
        <v>46</v>
      </c>
      <c r="D118" s="17" t="s">
        <v>52</v>
      </c>
      <c r="E118" s="16" t="s">
        <v>48</v>
      </c>
      <c r="F118" s="17" t="n">
        <v>9</v>
      </c>
      <c r="G118" s="18" t="n">
        <v>13.2354907067628</v>
      </c>
      <c r="H118" s="19" t="n">
        <v>9.06458541875135E-032</v>
      </c>
      <c r="I118" s="19" t="n">
        <v>1.91787610088721E-029</v>
      </c>
      <c r="J118" s="20" t="str">
        <f aca="false">IF(G118&lt;0,"QUANTUM","Classical")</f>
        <v>Classical</v>
      </c>
      <c r="K118" s="21" t="str">
        <f aca="false">IF(H118&lt;0.05,"yes","no")</f>
        <v>yes</v>
      </c>
      <c r="L118" s="21"/>
    </row>
    <row r="119" customFormat="false" ht="15" hidden="false" customHeight="false" outlineLevel="0" collapsed="false">
      <c r="A119" s="16" t="s">
        <v>45</v>
      </c>
      <c r="B119" s="17" t="n">
        <v>6</v>
      </c>
      <c r="C119" s="16" t="s">
        <v>46</v>
      </c>
      <c r="D119" s="17" t="s">
        <v>52</v>
      </c>
      <c r="E119" s="16" t="s">
        <v>48</v>
      </c>
      <c r="F119" s="17" t="n">
        <v>0</v>
      </c>
      <c r="G119" s="18" t="n">
        <v>12.9690148217929</v>
      </c>
      <c r="H119" s="19" t="n">
        <v>8.412353967416E-031</v>
      </c>
      <c r="I119" s="19" t="n">
        <v>1.71612020935286E-028</v>
      </c>
      <c r="J119" s="20" t="str">
        <f aca="false">IF(G119&lt;0,"QUANTUM","Classical")</f>
        <v>Classical</v>
      </c>
      <c r="K119" s="21" t="str">
        <f aca="false">IF(H119&lt;0.05,"yes","no")</f>
        <v>yes</v>
      </c>
      <c r="L119" s="21"/>
    </row>
    <row r="120" customFormat="false" ht="15" hidden="false" customHeight="false" outlineLevel="0" collapsed="false">
      <c r="A120" s="16" t="s">
        <v>45</v>
      </c>
      <c r="B120" s="17" t="n">
        <v>6</v>
      </c>
      <c r="C120" s="16" t="s">
        <v>46</v>
      </c>
      <c r="D120" s="17" t="s">
        <v>52</v>
      </c>
      <c r="E120" s="16" t="s">
        <v>48</v>
      </c>
      <c r="F120" s="17" t="n">
        <v>1</v>
      </c>
      <c r="G120" s="18" t="n">
        <v>13.3137040841135</v>
      </c>
      <c r="H120" s="19" t="n">
        <v>4.70343906156985E-032</v>
      </c>
      <c r="I120" s="19" t="n">
        <v>1.00183252011438E-029</v>
      </c>
      <c r="J120" s="20" t="str">
        <f aca="false">IF(G120&lt;0,"QUANTUM","Classical")</f>
        <v>Classical</v>
      </c>
      <c r="K120" s="21" t="str">
        <f aca="false">IF(H120&lt;0.05,"yes","no")</f>
        <v>yes</v>
      </c>
      <c r="L120" s="21"/>
    </row>
    <row r="121" customFormat="false" ht="15" hidden="false" customHeight="false" outlineLevel="0" collapsed="false">
      <c r="A121" s="16" t="s">
        <v>45</v>
      </c>
      <c r="B121" s="17" t="n">
        <v>6</v>
      </c>
      <c r="C121" s="16" t="s">
        <v>46</v>
      </c>
      <c r="D121" s="17" t="s">
        <v>52</v>
      </c>
      <c r="E121" s="16" t="s">
        <v>48</v>
      </c>
      <c r="F121" s="17" t="n">
        <v>2</v>
      </c>
      <c r="G121" s="18" t="n">
        <v>12.6473454642516</v>
      </c>
      <c r="H121" s="19" t="n">
        <v>1.21842677745473E-029</v>
      </c>
      <c r="I121" s="19" t="n">
        <v>2.32719514493853E-027</v>
      </c>
      <c r="J121" s="20" t="str">
        <f aca="false">IF(G121&lt;0,"QUANTUM","Classical")</f>
        <v>Classical</v>
      </c>
      <c r="K121" s="21" t="str">
        <f aca="false">IF(H121&lt;0.05,"yes","no")</f>
        <v>yes</v>
      </c>
      <c r="L121" s="21"/>
    </row>
    <row r="122" customFormat="false" ht="15" hidden="false" customHeight="false" outlineLevel="0" collapsed="false">
      <c r="A122" s="16" t="s">
        <v>45</v>
      </c>
      <c r="B122" s="17" t="n">
        <v>6</v>
      </c>
      <c r="C122" s="16" t="s">
        <v>46</v>
      </c>
      <c r="D122" s="17" t="s">
        <v>52</v>
      </c>
      <c r="E122" s="16" t="s">
        <v>48</v>
      </c>
      <c r="F122" s="17" t="n">
        <v>3</v>
      </c>
      <c r="G122" s="18" t="n">
        <v>12.7862282318853</v>
      </c>
      <c r="H122" s="19" t="n">
        <v>3.85104409992961E-030</v>
      </c>
      <c r="I122" s="19" t="n">
        <v>7.58655687686133E-028</v>
      </c>
      <c r="J122" s="20" t="str">
        <f aca="false">IF(G122&lt;0,"QUANTUM","Classical")</f>
        <v>Classical</v>
      </c>
      <c r="K122" s="21" t="str">
        <f aca="false">IF(H122&lt;0.05,"yes","no")</f>
        <v>yes</v>
      </c>
      <c r="L122" s="21"/>
    </row>
    <row r="123" customFormat="false" ht="15" hidden="false" customHeight="false" outlineLevel="0" collapsed="false">
      <c r="A123" s="16" t="s">
        <v>45</v>
      </c>
      <c r="B123" s="17" t="n">
        <v>6</v>
      </c>
      <c r="C123" s="16" t="s">
        <v>46</v>
      </c>
      <c r="D123" s="17" t="s">
        <v>52</v>
      </c>
      <c r="E123" s="16" t="s">
        <v>48</v>
      </c>
      <c r="F123" s="17" t="n">
        <v>4</v>
      </c>
      <c r="G123" s="18" t="n">
        <v>13.1825348354905</v>
      </c>
      <c r="H123" s="19" t="n">
        <v>1.41263568462958E-031</v>
      </c>
      <c r="I123" s="19" t="n">
        <v>2.95240858087582E-029</v>
      </c>
      <c r="J123" s="20" t="str">
        <f aca="false">IF(G123&lt;0,"QUANTUM","Classical")</f>
        <v>Classical</v>
      </c>
      <c r="K123" s="21" t="str">
        <f aca="false">IF(H123&lt;0.05,"yes","no")</f>
        <v>yes</v>
      </c>
      <c r="L123" s="21"/>
    </row>
    <row r="124" customFormat="false" ht="15" hidden="false" customHeight="false" outlineLevel="0" collapsed="false">
      <c r="A124" s="16" t="s">
        <v>45</v>
      </c>
      <c r="B124" s="17" t="n">
        <v>6</v>
      </c>
      <c r="C124" s="16" t="s">
        <v>46</v>
      </c>
      <c r="D124" s="17" t="s">
        <v>52</v>
      </c>
      <c r="E124" s="16" t="s">
        <v>48</v>
      </c>
      <c r="F124" s="17" t="n">
        <v>5</v>
      </c>
      <c r="G124" s="18" t="n">
        <v>12.7810999651486</v>
      </c>
      <c r="H124" s="19" t="n">
        <v>4.01861761992565E-030</v>
      </c>
      <c r="I124" s="19" t="n">
        <v>7.87649053505426E-028</v>
      </c>
      <c r="J124" s="20" t="str">
        <f aca="false">IF(G124&lt;0,"QUANTUM","Classical")</f>
        <v>Classical</v>
      </c>
      <c r="K124" s="21" t="str">
        <f aca="false">IF(H124&lt;0.05,"yes","no")</f>
        <v>yes</v>
      </c>
      <c r="L124" s="21"/>
    </row>
    <row r="125" customFormat="false" ht="15" hidden="false" customHeight="false" outlineLevel="0" collapsed="false">
      <c r="A125" s="16" t="s">
        <v>45</v>
      </c>
      <c r="B125" s="17" t="n">
        <v>6</v>
      </c>
      <c r="C125" s="16" t="s">
        <v>46</v>
      </c>
      <c r="D125" s="17" t="s">
        <v>52</v>
      </c>
      <c r="E125" s="16" t="s">
        <v>48</v>
      </c>
      <c r="F125" s="17" t="n">
        <v>6</v>
      </c>
      <c r="G125" s="18" t="n">
        <v>13.4238143920634</v>
      </c>
      <c r="H125" s="19" t="n">
        <v>1.86463684266933E-032</v>
      </c>
      <c r="I125" s="19" t="n">
        <v>3.99032284331237E-030</v>
      </c>
      <c r="J125" s="20" t="str">
        <f aca="false">IF(G125&lt;0,"QUANTUM","Classical")</f>
        <v>Classical</v>
      </c>
      <c r="K125" s="21" t="str">
        <f aca="false">IF(H125&lt;0.05,"yes","no")</f>
        <v>yes</v>
      </c>
      <c r="L125" s="21"/>
    </row>
    <row r="126" customFormat="false" ht="15" hidden="false" customHeight="false" outlineLevel="0" collapsed="false">
      <c r="A126" s="16" t="s">
        <v>45</v>
      </c>
      <c r="B126" s="17" t="n">
        <v>6</v>
      </c>
      <c r="C126" s="16" t="s">
        <v>46</v>
      </c>
      <c r="D126" s="17" t="s">
        <v>52</v>
      </c>
      <c r="E126" s="16" t="s">
        <v>48</v>
      </c>
      <c r="F126" s="17" t="n">
        <v>7</v>
      </c>
      <c r="G126" s="18" t="n">
        <v>12.7709786572416</v>
      </c>
      <c r="H126" s="19" t="n">
        <v>4.37098377014308E-030</v>
      </c>
      <c r="I126" s="19" t="n">
        <v>8.52341835177901E-028</v>
      </c>
      <c r="J126" s="20" t="str">
        <f aca="false">IF(G126&lt;0,"QUANTUM","Classical")</f>
        <v>Classical</v>
      </c>
      <c r="K126" s="21" t="str">
        <f aca="false">IF(H126&lt;0.05,"yes","no")</f>
        <v>yes</v>
      </c>
      <c r="L126" s="21"/>
    </row>
    <row r="127" customFormat="false" ht="15" hidden="false" customHeight="false" outlineLevel="0" collapsed="false">
      <c r="A127" s="16" t="s">
        <v>45</v>
      </c>
      <c r="B127" s="17" t="n">
        <v>6</v>
      </c>
      <c r="C127" s="16" t="s">
        <v>46</v>
      </c>
      <c r="D127" s="17" t="s">
        <v>52</v>
      </c>
      <c r="E127" s="16" t="s">
        <v>48</v>
      </c>
      <c r="F127" s="17" t="n">
        <v>8</v>
      </c>
      <c r="G127" s="18" t="n">
        <v>13.1076863075302</v>
      </c>
      <c r="H127" s="19" t="n">
        <v>2.6426291230153E-031</v>
      </c>
      <c r="I127" s="19" t="n">
        <v>5.44381599341152E-029</v>
      </c>
      <c r="J127" s="20" t="str">
        <f aca="false">IF(G127&lt;0,"QUANTUM","Classical")</f>
        <v>Classical</v>
      </c>
      <c r="K127" s="21" t="str">
        <f aca="false">IF(H127&lt;0.05,"yes","no")</f>
        <v>yes</v>
      </c>
      <c r="L127" s="21"/>
    </row>
    <row r="128" customFormat="false" ht="15" hidden="false" customHeight="false" outlineLevel="0" collapsed="false">
      <c r="A128" s="16" t="s">
        <v>45</v>
      </c>
      <c r="B128" s="17" t="n">
        <v>6</v>
      </c>
      <c r="C128" s="16" t="s">
        <v>46</v>
      </c>
      <c r="D128" s="17" t="s">
        <v>52</v>
      </c>
      <c r="E128" s="16" t="s">
        <v>48</v>
      </c>
      <c r="F128" s="17" t="n">
        <v>9</v>
      </c>
      <c r="G128" s="18" t="n">
        <v>13.1271751273919</v>
      </c>
      <c r="H128" s="19" t="n">
        <v>2.24517513450669E-031</v>
      </c>
      <c r="I128" s="19" t="n">
        <v>4.64751252842884E-029</v>
      </c>
      <c r="J128" s="20" t="str">
        <f aca="false">IF(G128&lt;0,"QUANTUM","Classical")</f>
        <v>Classical</v>
      </c>
      <c r="K128" s="21" t="str">
        <f aca="false">IF(H128&lt;0.05,"yes","no")</f>
        <v>yes</v>
      </c>
      <c r="L128" s="21"/>
    </row>
    <row r="129" customFormat="false" ht="15" hidden="false" customHeight="false" outlineLevel="0" collapsed="false">
      <c r="A129" s="16" t="s">
        <v>45</v>
      </c>
      <c r="B129" s="17" t="n">
        <v>8</v>
      </c>
      <c r="C129" s="16" t="s">
        <v>46</v>
      </c>
      <c r="D129" s="17" t="s">
        <v>52</v>
      </c>
      <c r="E129" s="16" t="s">
        <v>48</v>
      </c>
      <c r="F129" s="17" t="n">
        <v>0</v>
      </c>
      <c r="G129" s="18" t="n">
        <v>10.1177091855501</v>
      </c>
      <c r="H129" s="19" t="n">
        <v>3.02503800052308E-020</v>
      </c>
      <c r="I129" s="19" t="n">
        <v>3.56954484061724E-018</v>
      </c>
      <c r="J129" s="20" t="str">
        <f aca="false">IF(G129&lt;0,"QUANTUM","Classical")</f>
        <v>Classical</v>
      </c>
      <c r="K129" s="21" t="str">
        <f aca="false">IF(H129&lt;0.05,"yes","no")</f>
        <v>yes</v>
      </c>
      <c r="L129" s="21"/>
    </row>
    <row r="130" customFormat="false" ht="15" hidden="false" customHeight="false" outlineLevel="0" collapsed="false">
      <c r="A130" s="16" t="s">
        <v>45</v>
      </c>
      <c r="B130" s="17" t="n">
        <v>8</v>
      </c>
      <c r="C130" s="16" t="s">
        <v>46</v>
      </c>
      <c r="D130" s="17" t="s">
        <v>52</v>
      </c>
      <c r="E130" s="16" t="s">
        <v>48</v>
      </c>
      <c r="F130" s="17" t="n">
        <v>1</v>
      </c>
      <c r="G130" s="18" t="n">
        <v>10.4916157660368</v>
      </c>
      <c r="H130" s="19" t="n">
        <v>2.05635953117897E-021</v>
      </c>
      <c r="I130" s="19" t="n">
        <v>2.79664896240339E-019</v>
      </c>
      <c r="J130" s="20" t="str">
        <f aca="false">IF(G130&lt;0,"QUANTUM","Classical")</f>
        <v>Classical</v>
      </c>
      <c r="K130" s="21" t="str">
        <f aca="false">IF(H130&lt;0.05,"yes","no")</f>
        <v>yes</v>
      </c>
      <c r="L130" s="21"/>
    </row>
    <row r="131" customFormat="false" ht="15" hidden="false" customHeight="false" outlineLevel="0" collapsed="false">
      <c r="A131" s="16" t="s">
        <v>45</v>
      </c>
      <c r="B131" s="17" t="n">
        <v>8</v>
      </c>
      <c r="C131" s="16" t="s">
        <v>46</v>
      </c>
      <c r="D131" s="17" t="s">
        <v>52</v>
      </c>
      <c r="E131" s="16" t="s">
        <v>48</v>
      </c>
      <c r="F131" s="17" t="n">
        <v>2</v>
      </c>
      <c r="G131" s="18" t="n">
        <v>10.1593739597625</v>
      </c>
      <c r="H131" s="19" t="n">
        <v>2.24593308355784E-020</v>
      </c>
      <c r="I131" s="19" t="n">
        <v>2.78495702361172E-018</v>
      </c>
      <c r="J131" s="20" t="str">
        <f aca="false">IF(G131&lt;0,"QUANTUM","Classical")</f>
        <v>Classical</v>
      </c>
      <c r="K131" s="21" t="str">
        <f aca="false">IF(H131&lt;0.05,"yes","no")</f>
        <v>yes</v>
      </c>
      <c r="L131" s="21"/>
    </row>
    <row r="132" customFormat="false" ht="15" hidden="false" customHeight="false" outlineLevel="0" collapsed="false">
      <c r="A132" s="16" t="s">
        <v>45</v>
      </c>
      <c r="B132" s="17" t="n">
        <v>8</v>
      </c>
      <c r="C132" s="16" t="s">
        <v>46</v>
      </c>
      <c r="D132" s="17" t="s">
        <v>52</v>
      </c>
      <c r="E132" s="16" t="s">
        <v>48</v>
      </c>
      <c r="F132" s="17" t="n">
        <v>3</v>
      </c>
      <c r="G132" s="18" t="n">
        <v>10.0568523403729</v>
      </c>
      <c r="H132" s="19" t="n">
        <v>4.66956086131496E-020</v>
      </c>
      <c r="I132" s="19" t="n">
        <v>5.2766037732859E-018</v>
      </c>
      <c r="J132" s="20" t="str">
        <f aca="false">IF(G132&lt;0,"QUANTUM","Classical")</f>
        <v>Classical</v>
      </c>
      <c r="K132" s="21" t="str">
        <f aca="false">IF(H132&lt;0.05,"yes","no")</f>
        <v>yes</v>
      </c>
      <c r="L132" s="21"/>
    </row>
    <row r="133" customFormat="false" ht="15" hidden="false" customHeight="false" outlineLevel="0" collapsed="false">
      <c r="A133" s="16" t="s">
        <v>45</v>
      </c>
      <c r="B133" s="17" t="n">
        <v>8</v>
      </c>
      <c r="C133" s="16" t="s">
        <v>46</v>
      </c>
      <c r="D133" s="17" t="s">
        <v>52</v>
      </c>
      <c r="E133" s="16" t="s">
        <v>48</v>
      </c>
      <c r="F133" s="17" t="n">
        <v>4</v>
      </c>
      <c r="G133" s="18" t="n">
        <v>10.204787606942</v>
      </c>
      <c r="H133" s="19" t="n">
        <v>1.62254980976716E-020</v>
      </c>
      <c r="I133" s="19" t="n">
        <v>2.09308925459964E-018</v>
      </c>
      <c r="J133" s="20" t="str">
        <f aca="false">IF(G133&lt;0,"QUANTUM","Classical")</f>
        <v>Classical</v>
      </c>
      <c r="K133" s="21" t="str">
        <f aca="false">IF(H133&lt;0.05,"yes","no")</f>
        <v>yes</v>
      </c>
      <c r="L133" s="21"/>
    </row>
    <row r="134" customFormat="false" ht="15" hidden="false" customHeight="false" outlineLevel="0" collapsed="false">
      <c r="A134" s="16" t="s">
        <v>45</v>
      </c>
      <c r="B134" s="17" t="n">
        <v>8</v>
      </c>
      <c r="C134" s="16" t="s">
        <v>46</v>
      </c>
      <c r="D134" s="17" t="s">
        <v>52</v>
      </c>
      <c r="E134" s="16" t="s">
        <v>48</v>
      </c>
      <c r="F134" s="17" t="n">
        <v>5</v>
      </c>
      <c r="G134" s="18" t="n">
        <v>10.225169954851</v>
      </c>
      <c r="H134" s="19" t="n">
        <v>1.40200444354562E-020</v>
      </c>
      <c r="I134" s="19" t="n">
        <v>1.8226057766093E-018</v>
      </c>
      <c r="J134" s="20" t="str">
        <f aca="false">IF(G134&lt;0,"QUANTUM","Classical")</f>
        <v>Classical</v>
      </c>
      <c r="K134" s="21" t="str">
        <f aca="false">IF(H134&lt;0.05,"yes","no")</f>
        <v>yes</v>
      </c>
      <c r="L134" s="21"/>
    </row>
    <row r="135" customFormat="false" ht="15" hidden="false" customHeight="false" outlineLevel="0" collapsed="false">
      <c r="A135" s="16" t="s">
        <v>45</v>
      </c>
      <c r="B135" s="17" t="n">
        <v>8</v>
      </c>
      <c r="C135" s="16" t="s">
        <v>46</v>
      </c>
      <c r="D135" s="17" t="s">
        <v>52</v>
      </c>
      <c r="E135" s="16" t="s">
        <v>48</v>
      </c>
      <c r="F135" s="17" t="n">
        <v>6</v>
      </c>
      <c r="G135" s="18" t="n">
        <v>10.2365514101317</v>
      </c>
      <c r="H135" s="19" t="n">
        <v>1.29210959036844E-020</v>
      </c>
      <c r="I135" s="19" t="n">
        <v>1.69266356338265E-018</v>
      </c>
      <c r="J135" s="20" t="str">
        <f aca="false">IF(G135&lt;0,"QUANTUM","Classical")</f>
        <v>Classical</v>
      </c>
      <c r="K135" s="21" t="str">
        <f aca="false">IF(H135&lt;0.05,"yes","no")</f>
        <v>yes</v>
      </c>
      <c r="L135" s="21"/>
    </row>
    <row r="136" customFormat="false" ht="15" hidden="false" customHeight="false" outlineLevel="0" collapsed="false">
      <c r="A136" s="16" t="s">
        <v>45</v>
      </c>
      <c r="B136" s="17" t="n">
        <v>8</v>
      </c>
      <c r="C136" s="16" t="s">
        <v>46</v>
      </c>
      <c r="D136" s="17" t="s">
        <v>52</v>
      </c>
      <c r="E136" s="16" t="s">
        <v>48</v>
      </c>
      <c r="F136" s="17" t="n">
        <v>7</v>
      </c>
      <c r="G136" s="18" t="n">
        <v>10.0742539509704</v>
      </c>
      <c r="H136" s="19" t="n">
        <v>4.12484136472816E-020</v>
      </c>
      <c r="I136" s="19" t="n">
        <v>4.74356756943738E-018</v>
      </c>
      <c r="J136" s="20" t="str">
        <f aca="false">IF(G136&lt;0,"QUANTUM","Classical")</f>
        <v>Classical</v>
      </c>
      <c r="K136" s="21" t="str">
        <f aca="false">IF(H136&lt;0.05,"yes","no")</f>
        <v>yes</v>
      </c>
      <c r="L136" s="21"/>
    </row>
    <row r="137" customFormat="false" ht="15" hidden="false" customHeight="false" outlineLevel="0" collapsed="false">
      <c r="A137" s="16" t="s">
        <v>45</v>
      </c>
      <c r="B137" s="17" t="n">
        <v>8</v>
      </c>
      <c r="C137" s="16" t="s">
        <v>46</v>
      </c>
      <c r="D137" s="17" t="s">
        <v>52</v>
      </c>
      <c r="E137" s="16" t="s">
        <v>48</v>
      </c>
      <c r="F137" s="17" t="n">
        <v>8</v>
      </c>
      <c r="G137" s="18" t="n">
        <v>10.171391038918</v>
      </c>
      <c r="H137" s="19" t="n">
        <v>2.06089874760644E-020</v>
      </c>
      <c r="I137" s="19" t="n">
        <v>2.59673242198412E-018</v>
      </c>
      <c r="J137" s="20" t="str">
        <f aca="false">IF(G137&lt;0,"QUANTUM","Classical")</f>
        <v>Classical</v>
      </c>
      <c r="K137" s="21" t="str">
        <f aca="false">IF(H137&lt;0.05,"yes","no")</f>
        <v>yes</v>
      </c>
      <c r="L137" s="21"/>
    </row>
    <row r="138" customFormat="false" ht="15" hidden="false" customHeight="false" outlineLevel="0" collapsed="false">
      <c r="A138" s="16" t="s">
        <v>45</v>
      </c>
      <c r="B138" s="17" t="n">
        <v>8</v>
      </c>
      <c r="C138" s="16" t="s">
        <v>46</v>
      </c>
      <c r="D138" s="17" t="s">
        <v>52</v>
      </c>
      <c r="E138" s="16" t="s">
        <v>48</v>
      </c>
      <c r="F138" s="17" t="n">
        <v>9</v>
      </c>
      <c r="G138" s="18" t="n">
        <v>10.1542669962765</v>
      </c>
      <c r="H138" s="19" t="n">
        <v>2.32948774022116E-020</v>
      </c>
      <c r="I138" s="19" t="n">
        <v>2.86526992047202E-018</v>
      </c>
      <c r="J138" s="20" t="str">
        <f aca="false">IF(G138&lt;0,"QUANTUM","Classical")</f>
        <v>Classical</v>
      </c>
      <c r="K138" s="21" t="str">
        <f aca="false">IF(H138&lt;0.05,"yes","no")</f>
        <v>yes</v>
      </c>
      <c r="L138" s="21"/>
    </row>
    <row r="139" customFormat="false" ht="15" hidden="false" customHeight="false" outlineLevel="0" collapsed="false">
      <c r="A139" s="16" t="s">
        <v>45</v>
      </c>
      <c r="B139" s="17" t="n">
        <v>10</v>
      </c>
      <c r="C139" s="16" t="s">
        <v>46</v>
      </c>
      <c r="D139" s="17" t="s">
        <v>52</v>
      </c>
      <c r="E139" s="16" t="s">
        <v>48</v>
      </c>
      <c r="F139" s="17" t="n">
        <v>0</v>
      </c>
      <c r="G139" s="18" t="n">
        <v>7.53539931821258</v>
      </c>
      <c r="H139" s="19" t="n">
        <v>1.08565852843777E-011</v>
      </c>
      <c r="I139" s="19" t="n">
        <v>4.45119996659486E-010</v>
      </c>
      <c r="J139" s="20" t="str">
        <f aca="false">IF(G139&lt;0,"QUANTUM","Classical")</f>
        <v>Classical</v>
      </c>
      <c r="K139" s="21" t="str">
        <f aca="false">IF(H139&lt;0.05,"yes","no")</f>
        <v>yes</v>
      </c>
      <c r="L139" s="21"/>
    </row>
    <row r="140" customFormat="false" ht="15" hidden="false" customHeight="false" outlineLevel="0" collapsed="false">
      <c r="A140" s="16" t="s">
        <v>45</v>
      </c>
      <c r="B140" s="17" t="n">
        <v>10</v>
      </c>
      <c r="C140" s="16" t="s">
        <v>46</v>
      </c>
      <c r="D140" s="17" t="s">
        <v>52</v>
      </c>
      <c r="E140" s="16" t="s">
        <v>48</v>
      </c>
      <c r="F140" s="17" t="n">
        <v>1</v>
      </c>
      <c r="G140" s="18" t="n">
        <v>7.58273139387294</v>
      </c>
      <c r="H140" s="19" t="n">
        <v>8.49684327283191E-012</v>
      </c>
      <c r="I140" s="19" t="n">
        <v>3.82357947277436E-010</v>
      </c>
      <c r="J140" s="20" t="str">
        <f aca="false">IF(G140&lt;0,"QUANTUM","Classical")</f>
        <v>Classical</v>
      </c>
      <c r="K140" s="21" t="str">
        <f aca="false">IF(H140&lt;0.05,"yes","no")</f>
        <v>yes</v>
      </c>
      <c r="L140" s="21"/>
    </row>
    <row r="141" customFormat="false" ht="15" hidden="false" customHeight="false" outlineLevel="0" collapsed="false">
      <c r="A141" s="16" t="s">
        <v>45</v>
      </c>
      <c r="B141" s="17" t="n">
        <v>10</v>
      </c>
      <c r="C141" s="16" t="s">
        <v>46</v>
      </c>
      <c r="D141" s="17" t="s">
        <v>52</v>
      </c>
      <c r="E141" s="16" t="s">
        <v>48</v>
      </c>
      <c r="F141" s="17" t="n">
        <v>2</v>
      </c>
      <c r="G141" s="18" t="n">
        <v>7.5594390136399</v>
      </c>
      <c r="H141" s="19" t="n">
        <v>9.58653085023643E-012</v>
      </c>
      <c r="I141" s="19" t="n">
        <v>4.21807357410403E-010</v>
      </c>
      <c r="J141" s="20" t="str">
        <f aca="false">IF(G141&lt;0,"QUANTUM","Classical")</f>
        <v>Classical</v>
      </c>
      <c r="K141" s="21" t="str">
        <f aca="false">IF(H141&lt;0.05,"yes","no")</f>
        <v>yes</v>
      </c>
      <c r="L141" s="21"/>
    </row>
    <row r="142" customFormat="false" ht="15" hidden="false" customHeight="false" outlineLevel="0" collapsed="false">
      <c r="A142" s="16" t="s">
        <v>45</v>
      </c>
      <c r="B142" s="17" t="n">
        <v>10</v>
      </c>
      <c r="C142" s="16" t="s">
        <v>46</v>
      </c>
      <c r="D142" s="17" t="s">
        <v>52</v>
      </c>
      <c r="E142" s="16" t="s">
        <v>48</v>
      </c>
      <c r="F142" s="17" t="n">
        <v>3</v>
      </c>
      <c r="G142" s="18" t="n">
        <v>7.61764149336397</v>
      </c>
      <c r="H142" s="19" t="n">
        <v>7.08959778032042E-012</v>
      </c>
      <c r="I142" s="19" t="n">
        <v>3.4030069345538E-010</v>
      </c>
      <c r="J142" s="20" t="str">
        <f aca="false">IF(G142&lt;0,"QUANTUM","Classical")</f>
        <v>Classical</v>
      </c>
      <c r="K142" s="21" t="str">
        <f aca="false">IF(H142&lt;0.05,"yes","no")</f>
        <v>yes</v>
      </c>
      <c r="L142" s="21"/>
    </row>
    <row r="143" customFormat="false" ht="15" hidden="false" customHeight="false" outlineLevel="0" collapsed="false">
      <c r="A143" s="16" t="s">
        <v>45</v>
      </c>
      <c r="B143" s="17" t="n">
        <v>10</v>
      </c>
      <c r="C143" s="16" t="s">
        <v>46</v>
      </c>
      <c r="D143" s="17" t="s">
        <v>52</v>
      </c>
      <c r="E143" s="16" t="s">
        <v>48</v>
      </c>
      <c r="F143" s="17" t="n">
        <v>4</v>
      </c>
      <c r="G143" s="18" t="n">
        <v>7.54968817639405</v>
      </c>
      <c r="H143" s="19" t="n">
        <v>1.00828682335123E-011</v>
      </c>
      <c r="I143" s="19" t="n">
        <v>4.33563334041028E-010</v>
      </c>
      <c r="J143" s="20" t="str">
        <f aca="false">IF(G143&lt;0,"QUANTUM","Classical")</f>
        <v>Classical</v>
      </c>
      <c r="K143" s="21" t="str">
        <f aca="false">IF(H143&lt;0.05,"yes","no")</f>
        <v>yes</v>
      </c>
      <c r="L143" s="21"/>
    </row>
    <row r="144" customFormat="false" ht="15" hidden="false" customHeight="false" outlineLevel="0" collapsed="false">
      <c r="A144" s="16" t="s">
        <v>45</v>
      </c>
      <c r="B144" s="17" t="n">
        <v>12</v>
      </c>
      <c r="C144" s="16" t="s">
        <v>46</v>
      </c>
      <c r="D144" s="17" t="s">
        <v>52</v>
      </c>
      <c r="E144" s="16" t="s">
        <v>48</v>
      </c>
      <c r="F144" s="17" t="n">
        <v>0</v>
      </c>
      <c r="G144" s="18" t="n">
        <v>7.52732366050001</v>
      </c>
      <c r="H144" s="19" t="n">
        <v>1.13196206768195E-011</v>
      </c>
      <c r="I144" s="19" t="n">
        <v>4.45119996659486E-010</v>
      </c>
      <c r="J144" s="20" t="str">
        <f aca="false">IF(G144&lt;0,"QUANTUM","Classical")</f>
        <v>Classical</v>
      </c>
      <c r="K144" s="21" t="str">
        <f aca="false">IF(H144&lt;0.05,"yes","no")</f>
        <v>yes</v>
      </c>
      <c r="L144" s="21"/>
    </row>
    <row r="145" customFormat="false" ht="15" hidden="false" customHeight="false" outlineLevel="0" collapsed="false">
      <c r="A145" s="16" t="s">
        <v>45</v>
      </c>
      <c r="B145" s="17" t="n">
        <v>12</v>
      </c>
      <c r="C145" s="16" t="s">
        <v>46</v>
      </c>
      <c r="D145" s="17" t="s">
        <v>52</v>
      </c>
      <c r="E145" s="16" t="s">
        <v>48</v>
      </c>
      <c r="F145" s="17" t="n">
        <v>1</v>
      </c>
      <c r="G145" s="18" t="n">
        <v>8.05247381307726</v>
      </c>
      <c r="H145" s="19" t="n">
        <v>7.283504651241E-013</v>
      </c>
      <c r="I145" s="19" t="n">
        <v>4.07876260469496E-011</v>
      </c>
      <c r="J145" s="20" t="str">
        <f aca="false">IF(G145&lt;0,"QUANTUM","Classical")</f>
        <v>Classical</v>
      </c>
      <c r="K145" s="21" t="str">
        <f aca="false">IF(H145&lt;0.05,"yes","no")</f>
        <v>yes</v>
      </c>
      <c r="L145" s="21"/>
    </row>
    <row r="146" customFormat="false" ht="15" hidden="false" customHeight="false" outlineLevel="0" collapsed="false">
      <c r="A146" s="16" t="s">
        <v>50</v>
      </c>
      <c r="B146" s="17" t="n">
        <v>4</v>
      </c>
      <c r="C146" s="16" t="s">
        <v>46</v>
      </c>
      <c r="D146" s="17" t="s">
        <v>52</v>
      </c>
      <c r="E146" s="16" t="s">
        <v>48</v>
      </c>
      <c r="F146" s="17" t="n">
        <v>0</v>
      </c>
      <c r="G146" s="18" t="n">
        <v>9.16756317787468</v>
      </c>
      <c r="H146" s="19" t="n">
        <v>8.15779546527227E-018</v>
      </c>
      <c r="I146" s="19" t="n">
        <v>6.44465841756509E-016</v>
      </c>
      <c r="J146" s="20" t="str">
        <f aca="false">IF(G146&lt;0,"QUANTUM","Classical")</f>
        <v>Classical</v>
      </c>
      <c r="K146" s="21" t="str">
        <f aca="false">IF(H146&lt;0.05,"yes","no")</f>
        <v>yes</v>
      </c>
      <c r="L146" s="21"/>
    </row>
    <row r="147" customFormat="false" ht="15" hidden="false" customHeight="false" outlineLevel="0" collapsed="false">
      <c r="A147" s="16" t="s">
        <v>50</v>
      </c>
      <c r="B147" s="17" t="n">
        <v>4</v>
      </c>
      <c r="C147" s="16" t="s">
        <v>46</v>
      </c>
      <c r="D147" s="17" t="s">
        <v>52</v>
      </c>
      <c r="E147" s="16" t="s">
        <v>48</v>
      </c>
      <c r="F147" s="17" t="n">
        <v>1</v>
      </c>
      <c r="G147" s="18" t="n">
        <v>9.5040657643048</v>
      </c>
      <c r="H147" s="19" t="n">
        <v>6.98623799847048E-019</v>
      </c>
      <c r="I147" s="19" t="n">
        <v>6.49720133857754E-017</v>
      </c>
      <c r="J147" s="20" t="str">
        <f aca="false">IF(G147&lt;0,"QUANTUM","Classical")</f>
        <v>Classical</v>
      </c>
      <c r="K147" s="21" t="str">
        <f aca="false">IF(H147&lt;0.05,"yes","no")</f>
        <v>yes</v>
      </c>
      <c r="L147" s="21"/>
    </row>
    <row r="148" customFormat="false" ht="15" hidden="false" customHeight="false" outlineLevel="0" collapsed="false">
      <c r="A148" s="16" t="s">
        <v>50</v>
      </c>
      <c r="B148" s="17" t="n">
        <v>4</v>
      </c>
      <c r="C148" s="16" t="s">
        <v>46</v>
      </c>
      <c r="D148" s="17" t="s">
        <v>52</v>
      </c>
      <c r="E148" s="16" t="s">
        <v>48</v>
      </c>
      <c r="F148" s="17" t="n">
        <v>2</v>
      </c>
      <c r="G148" s="18" t="n">
        <v>8.54139770253296</v>
      </c>
      <c r="H148" s="19" t="n">
        <v>6.93667471314592E-016</v>
      </c>
      <c r="I148" s="19" t="n">
        <v>4.43947181641339E-014</v>
      </c>
      <c r="J148" s="20" t="str">
        <f aca="false">IF(G148&lt;0,"QUANTUM","Classical")</f>
        <v>Classical</v>
      </c>
      <c r="K148" s="21" t="str">
        <f aca="false">IF(H148&lt;0.05,"yes","no")</f>
        <v>yes</v>
      </c>
      <c r="L148" s="21"/>
    </row>
    <row r="149" customFormat="false" ht="15" hidden="false" customHeight="false" outlineLevel="0" collapsed="false">
      <c r="A149" s="16" t="s">
        <v>50</v>
      </c>
      <c r="B149" s="17" t="n">
        <v>4</v>
      </c>
      <c r="C149" s="16" t="s">
        <v>46</v>
      </c>
      <c r="D149" s="17" t="s">
        <v>52</v>
      </c>
      <c r="E149" s="16" t="s">
        <v>48</v>
      </c>
      <c r="F149" s="17" t="n">
        <v>3</v>
      </c>
      <c r="G149" s="18" t="n">
        <v>9.33795229022431</v>
      </c>
      <c r="H149" s="19" t="n">
        <v>2.36404277434306E-018</v>
      </c>
      <c r="I149" s="19" t="n">
        <v>2.0094363581916E-016</v>
      </c>
      <c r="J149" s="20" t="str">
        <f aca="false">IF(G149&lt;0,"QUANTUM","Classical")</f>
        <v>Classical</v>
      </c>
      <c r="K149" s="21" t="str">
        <f aca="false">IF(H149&lt;0.05,"yes","no")</f>
        <v>yes</v>
      </c>
      <c r="L149" s="21"/>
    </row>
    <row r="150" customFormat="false" ht="15" hidden="false" customHeight="false" outlineLevel="0" collapsed="false">
      <c r="A150" s="16" t="s">
        <v>50</v>
      </c>
      <c r="B150" s="17" t="n">
        <v>4</v>
      </c>
      <c r="C150" s="16" t="s">
        <v>46</v>
      </c>
      <c r="D150" s="17" t="s">
        <v>52</v>
      </c>
      <c r="E150" s="16" t="s">
        <v>48</v>
      </c>
      <c r="F150" s="17" t="n">
        <v>4</v>
      </c>
      <c r="G150" s="18" t="n">
        <v>7.67657845596657</v>
      </c>
      <c r="H150" s="19" t="n">
        <v>2.35466369636347E-013</v>
      </c>
      <c r="I150" s="19" t="n">
        <v>1.36570494389081E-011</v>
      </c>
      <c r="J150" s="20" t="str">
        <f aca="false">IF(G150&lt;0,"QUANTUM","Classical")</f>
        <v>Classical</v>
      </c>
      <c r="K150" s="21" t="str">
        <f aca="false">IF(H150&lt;0.05,"yes","no")</f>
        <v>yes</v>
      </c>
      <c r="L150" s="21"/>
    </row>
    <row r="151" customFormat="false" ht="15" hidden="false" customHeight="false" outlineLevel="0" collapsed="false">
      <c r="A151" s="16" t="s">
        <v>50</v>
      </c>
      <c r="B151" s="17" t="n">
        <v>4</v>
      </c>
      <c r="C151" s="16" t="s">
        <v>46</v>
      </c>
      <c r="D151" s="17" t="s">
        <v>52</v>
      </c>
      <c r="E151" s="16" t="s">
        <v>48</v>
      </c>
      <c r="F151" s="17" t="n">
        <v>5</v>
      </c>
      <c r="G151" s="18" t="n">
        <v>9.93638922453651</v>
      </c>
      <c r="H151" s="19" t="n">
        <v>2.78218228411555E-020</v>
      </c>
      <c r="I151" s="19" t="n">
        <v>3.31079691809751E-018</v>
      </c>
      <c r="J151" s="20" t="str">
        <f aca="false">IF(G151&lt;0,"QUANTUM","Classical")</f>
        <v>Classical</v>
      </c>
      <c r="K151" s="21" t="str">
        <f aca="false">IF(H151&lt;0.05,"yes","no")</f>
        <v>yes</v>
      </c>
      <c r="L151" s="21"/>
    </row>
    <row r="152" customFormat="false" ht="15" hidden="false" customHeight="false" outlineLevel="0" collapsed="false">
      <c r="A152" s="16" t="s">
        <v>50</v>
      </c>
      <c r="B152" s="17" t="n">
        <v>4</v>
      </c>
      <c r="C152" s="16" t="s">
        <v>46</v>
      </c>
      <c r="D152" s="17" t="s">
        <v>52</v>
      </c>
      <c r="E152" s="16" t="s">
        <v>48</v>
      </c>
      <c r="F152" s="17" t="n">
        <v>6</v>
      </c>
      <c r="G152" s="18" t="n">
        <v>11.2988099377703</v>
      </c>
      <c r="H152" s="19" t="n">
        <v>7.08010114702217E-025</v>
      </c>
      <c r="I152" s="19" t="n">
        <v>1.13281618352355E-022</v>
      </c>
      <c r="J152" s="20" t="str">
        <f aca="false">IF(G152&lt;0,"QUANTUM","Classical")</f>
        <v>Classical</v>
      </c>
      <c r="K152" s="21" t="str">
        <f aca="false">IF(H152&lt;0.05,"yes","no")</f>
        <v>yes</v>
      </c>
      <c r="L152" s="21"/>
    </row>
    <row r="153" customFormat="false" ht="15" hidden="false" customHeight="false" outlineLevel="0" collapsed="false">
      <c r="A153" s="16" t="s">
        <v>50</v>
      </c>
      <c r="B153" s="17" t="n">
        <v>4</v>
      </c>
      <c r="C153" s="16" t="s">
        <v>46</v>
      </c>
      <c r="D153" s="17" t="s">
        <v>52</v>
      </c>
      <c r="E153" s="16" t="s">
        <v>48</v>
      </c>
      <c r="F153" s="17" t="n">
        <v>7</v>
      </c>
      <c r="G153" s="18" t="n">
        <v>9.87926005937953</v>
      </c>
      <c r="H153" s="19" t="n">
        <v>4.27691686509822E-020</v>
      </c>
      <c r="I153" s="19" t="n">
        <v>4.87568522621198E-018</v>
      </c>
      <c r="J153" s="20" t="str">
        <f aca="false">IF(G153&lt;0,"QUANTUM","Classical")</f>
        <v>Classical</v>
      </c>
      <c r="K153" s="21" t="str">
        <f aca="false">IF(H153&lt;0.05,"yes","no")</f>
        <v>yes</v>
      </c>
      <c r="L153" s="21"/>
    </row>
    <row r="154" customFormat="false" ht="15" hidden="false" customHeight="false" outlineLevel="0" collapsed="false">
      <c r="A154" s="16" t="s">
        <v>50</v>
      </c>
      <c r="B154" s="17" t="n">
        <v>4</v>
      </c>
      <c r="C154" s="16" t="s">
        <v>46</v>
      </c>
      <c r="D154" s="17" t="s">
        <v>52</v>
      </c>
      <c r="E154" s="16" t="s">
        <v>48</v>
      </c>
      <c r="F154" s="17" t="n">
        <v>8</v>
      </c>
      <c r="G154" s="18" t="n">
        <v>9.55233574435026</v>
      </c>
      <c r="H154" s="19" t="n">
        <v>4.89217664123554E-019</v>
      </c>
      <c r="I154" s="19" t="n">
        <v>4.59864604276141E-017</v>
      </c>
      <c r="J154" s="20" t="str">
        <f aca="false">IF(G154&lt;0,"QUANTUM","Classical")</f>
        <v>Classical</v>
      </c>
      <c r="K154" s="21" t="str">
        <f aca="false">IF(H154&lt;0.05,"yes","no")</f>
        <v>yes</v>
      </c>
      <c r="L154" s="21"/>
    </row>
    <row r="155" customFormat="false" ht="15" hidden="false" customHeight="false" outlineLevel="0" collapsed="false">
      <c r="A155" s="16" t="s">
        <v>50</v>
      </c>
      <c r="B155" s="17" t="n">
        <v>4</v>
      </c>
      <c r="C155" s="16" t="s">
        <v>46</v>
      </c>
      <c r="D155" s="17" t="s">
        <v>52</v>
      </c>
      <c r="E155" s="16" t="s">
        <v>48</v>
      </c>
      <c r="F155" s="17" t="n">
        <v>9</v>
      </c>
      <c r="G155" s="18" t="n">
        <v>9.04979265785414</v>
      </c>
      <c r="H155" s="19" t="n">
        <v>1.90658976205109E-017</v>
      </c>
      <c r="I155" s="19" t="n">
        <v>1.44900821915882E-015</v>
      </c>
      <c r="J155" s="20" t="str">
        <f aca="false">IF(G155&lt;0,"QUANTUM","Classical")</f>
        <v>Classical</v>
      </c>
      <c r="K155" s="21" t="str">
        <f aca="false">IF(H155&lt;0.05,"yes","no")</f>
        <v>yes</v>
      </c>
      <c r="L155" s="21"/>
    </row>
    <row r="156" customFormat="false" ht="15" hidden="false" customHeight="false" outlineLevel="0" collapsed="false">
      <c r="A156" s="16" t="s">
        <v>50</v>
      </c>
      <c r="B156" s="17" t="n">
        <v>6</v>
      </c>
      <c r="C156" s="16" t="s">
        <v>46</v>
      </c>
      <c r="D156" s="17" t="s">
        <v>52</v>
      </c>
      <c r="E156" s="16" t="s">
        <v>48</v>
      </c>
      <c r="F156" s="17" t="n">
        <v>0</v>
      </c>
      <c r="G156" s="18" t="n">
        <v>8.63585091051463</v>
      </c>
      <c r="H156" s="19" t="n">
        <v>3.58954527540646E-016</v>
      </c>
      <c r="I156" s="19" t="n">
        <v>2.39421383235417E-014</v>
      </c>
      <c r="J156" s="20" t="str">
        <f aca="false">IF(G156&lt;0,"QUANTUM","Classical")</f>
        <v>Classical</v>
      </c>
      <c r="K156" s="21" t="str">
        <f aca="false">IF(H156&lt;0.05,"yes","no")</f>
        <v>yes</v>
      </c>
      <c r="L156" s="21"/>
    </row>
    <row r="157" customFormat="false" ht="15" hidden="false" customHeight="false" outlineLevel="0" collapsed="false">
      <c r="A157" s="16" t="s">
        <v>50</v>
      </c>
      <c r="B157" s="17" t="n">
        <v>6</v>
      </c>
      <c r="C157" s="16" t="s">
        <v>46</v>
      </c>
      <c r="D157" s="17" t="s">
        <v>52</v>
      </c>
      <c r="E157" s="16" t="s">
        <v>48</v>
      </c>
      <c r="F157" s="17" t="n">
        <v>1</v>
      </c>
      <c r="G157" s="18" t="n">
        <v>12.3801581341932</v>
      </c>
      <c r="H157" s="19" t="n">
        <v>1.10565580436807E-028</v>
      </c>
      <c r="I157" s="19" t="n">
        <v>2.0565197961246E-026</v>
      </c>
      <c r="J157" s="20" t="str">
        <f aca="false">IF(G157&lt;0,"QUANTUM","Classical")</f>
        <v>Classical</v>
      </c>
      <c r="K157" s="21" t="str">
        <f aca="false">IF(H157&lt;0.05,"yes","no")</f>
        <v>yes</v>
      </c>
      <c r="L157" s="21"/>
    </row>
    <row r="158" customFormat="false" ht="15" hidden="false" customHeight="false" outlineLevel="0" collapsed="false">
      <c r="A158" s="16" t="s">
        <v>50</v>
      </c>
      <c r="B158" s="17" t="n">
        <v>6</v>
      </c>
      <c r="C158" s="16" t="s">
        <v>46</v>
      </c>
      <c r="D158" s="17" t="s">
        <v>52</v>
      </c>
      <c r="E158" s="16" t="s">
        <v>48</v>
      </c>
      <c r="F158" s="17" t="n">
        <v>2</v>
      </c>
      <c r="G158" s="18" t="n">
        <v>9.79568157831622</v>
      </c>
      <c r="H158" s="19" t="n">
        <v>8.00545532711992E-020</v>
      </c>
      <c r="I158" s="19" t="n">
        <v>8.56583720001831E-018</v>
      </c>
      <c r="J158" s="20" t="str">
        <f aca="false">IF(G158&lt;0,"QUANTUM","Classical")</f>
        <v>Classical</v>
      </c>
      <c r="K158" s="21" t="str">
        <f aca="false">IF(H158&lt;0.05,"yes","no")</f>
        <v>yes</v>
      </c>
      <c r="L158" s="21"/>
    </row>
    <row r="159" customFormat="false" ht="15" hidden="false" customHeight="false" outlineLevel="0" collapsed="false">
      <c r="A159" s="16" t="s">
        <v>50</v>
      </c>
      <c r="B159" s="17" t="n">
        <v>6</v>
      </c>
      <c r="C159" s="16" t="s">
        <v>46</v>
      </c>
      <c r="D159" s="17" t="s">
        <v>52</v>
      </c>
      <c r="E159" s="16" t="s">
        <v>48</v>
      </c>
      <c r="F159" s="17" t="n">
        <v>3</v>
      </c>
      <c r="G159" s="18" t="n">
        <v>9.34507114703106</v>
      </c>
      <c r="H159" s="19" t="n">
        <v>2.24422897518013E-018</v>
      </c>
      <c r="I159" s="19" t="n">
        <v>1.93003691865491E-016</v>
      </c>
      <c r="J159" s="20" t="str">
        <f aca="false">IF(G159&lt;0,"QUANTUM","Classical")</f>
        <v>Classical</v>
      </c>
      <c r="K159" s="21" t="str">
        <f aca="false">IF(H159&lt;0.05,"yes","no")</f>
        <v>yes</v>
      </c>
      <c r="L159" s="21"/>
    </row>
    <row r="160" customFormat="false" ht="15" hidden="false" customHeight="false" outlineLevel="0" collapsed="false">
      <c r="A160" s="16" t="s">
        <v>50</v>
      </c>
      <c r="B160" s="17" t="n">
        <v>6</v>
      </c>
      <c r="C160" s="16" t="s">
        <v>46</v>
      </c>
      <c r="D160" s="17" t="s">
        <v>52</v>
      </c>
      <c r="E160" s="16" t="s">
        <v>48</v>
      </c>
      <c r="F160" s="17" t="n">
        <v>4</v>
      </c>
      <c r="G160" s="18" t="n">
        <v>8.68173300571328</v>
      </c>
      <c r="H160" s="19" t="n">
        <v>2.60257613451458E-016</v>
      </c>
      <c r="I160" s="19" t="n">
        <v>1.76975177146991E-014</v>
      </c>
      <c r="J160" s="20" t="str">
        <f aca="false">IF(G160&lt;0,"QUANTUM","Classical")</f>
        <v>Classical</v>
      </c>
      <c r="K160" s="21" t="str">
        <f aca="false">IF(H160&lt;0.05,"yes","no")</f>
        <v>yes</v>
      </c>
      <c r="L160" s="21"/>
    </row>
    <row r="161" customFormat="false" ht="15" hidden="false" customHeight="false" outlineLevel="0" collapsed="false">
      <c r="A161" s="16" t="s">
        <v>50</v>
      </c>
      <c r="B161" s="17" t="n">
        <v>6</v>
      </c>
      <c r="C161" s="16" t="s">
        <v>46</v>
      </c>
      <c r="D161" s="17" t="s">
        <v>52</v>
      </c>
      <c r="E161" s="16" t="s">
        <v>48</v>
      </c>
      <c r="F161" s="17" t="n">
        <v>5</v>
      </c>
      <c r="G161" s="18" t="n">
        <v>9.98579077389606</v>
      </c>
      <c r="H161" s="19" t="n">
        <v>1.91637978804866E-020</v>
      </c>
      <c r="I161" s="19" t="n">
        <v>2.4338023308218E-018</v>
      </c>
      <c r="J161" s="20" t="str">
        <f aca="false">IF(G161&lt;0,"QUANTUM","Classical")</f>
        <v>Classical</v>
      </c>
      <c r="K161" s="21" t="str">
        <f aca="false">IF(H161&lt;0.05,"yes","no")</f>
        <v>yes</v>
      </c>
      <c r="L161" s="21"/>
    </row>
    <row r="162" customFormat="false" ht="15" hidden="false" customHeight="false" outlineLevel="0" collapsed="false">
      <c r="A162" s="16" t="s">
        <v>50</v>
      </c>
      <c r="B162" s="17" t="n">
        <v>6</v>
      </c>
      <c r="C162" s="16" t="s">
        <v>46</v>
      </c>
      <c r="D162" s="17" t="s">
        <v>52</v>
      </c>
      <c r="E162" s="16" t="s">
        <v>48</v>
      </c>
      <c r="F162" s="17" t="n">
        <v>6</v>
      </c>
      <c r="G162" s="18" t="n">
        <v>11.9254650336191</v>
      </c>
      <c r="H162" s="19" t="n">
        <v>4.5577801507729E-027</v>
      </c>
      <c r="I162" s="19" t="n">
        <v>8.06727086686802E-025</v>
      </c>
      <c r="J162" s="20" t="str">
        <f aca="false">IF(G162&lt;0,"QUANTUM","Classical")</f>
        <v>Classical</v>
      </c>
      <c r="K162" s="21" t="str">
        <f aca="false">IF(H162&lt;0.05,"yes","no")</f>
        <v>yes</v>
      </c>
      <c r="L162" s="21"/>
    </row>
    <row r="163" customFormat="false" ht="15" hidden="false" customHeight="false" outlineLevel="0" collapsed="false">
      <c r="A163" s="16" t="s">
        <v>50</v>
      </c>
      <c r="B163" s="17" t="n">
        <v>6</v>
      </c>
      <c r="C163" s="16" t="s">
        <v>46</v>
      </c>
      <c r="D163" s="17" t="s">
        <v>52</v>
      </c>
      <c r="E163" s="16" t="s">
        <v>48</v>
      </c>
      <c r="F163" s="17" t="n">
        <v>7</v>
      </c>
      <c r="G163" s="18" t="n">
        <v>9.37357749077986</v>
      </c>
      <c r="H163" s="19" t="n">
        <v>1.8219059998034E-018</v>
      </c>
      <c r="I163" s="19" t="n">
        <v>1.58505821982896E-016</v>
      </c>
      <c r="J163" s="20" t="str">
        <f aca="false">IF(G163&lt;0,"QUANTUM","Classical")</f>
        <v>Classical</v>
      </c>
      <c r="K163" s="21" t="str">
        <f aca="false">IF(H163&lt;0.05,"yes","no")</f>
        <v>yes</v>
      </c>
      <c r="L163" s="21"/>
    </row>
    <row r="164" customFormat="false" ht="15" hidden="false" customHeight="false" outlineLevel="0" collapsed="false">
      <c r="A164" s="16" t="s">
        <v>50</v>
      </c>
      <c r="B164" s="17" t="n">
        <v>6</v>
      </c>
      <c r="C164" s="16" t="s">
        <v>46</v>
      </c>
      <c r="D164" s="17" t="s">
        <v>52</v>
      </c>
      <c r="E164" s="16" t="s">
        <v>48</v>
      </c>
      <c r="F164" s="17" t="n">
        <v>8</v>
      </c>
      <c r="G164" s="18" t="n">
        <v>11.0814772647745</v>
      </c>
      <c r="H164" s="19" t="n">
        <v>3.97680286854472E-024</v>
      </c>
      <c r="I164" s="19" t="n">
        <v>6.16404444624431E-022</v>
      </c>
      <c r="J164" s="20" t="str">
        <f aca="false">IF(G164&lt;0,"QUANTUM","Classical")</f>
        <v>Classical</v>
      </c>
      <c r="K164" s="21" t="str">
        <f aca="false">IF(H164&lt;0.05,"yes","no")</f>
        <v>yes</v>
      </c>
      <c r="L164" s="21"/>
    </row>
    <row r="165" customFormat="false" ht="15" hidden="false" customHeight="false" outlineLevel="0" collapsed="false">
      <c r="A165" s="16" t="s">
        <v>50</v>
      </c>
      <c r="B165" s="17" t="n">
        <v>6</v>
      </c>
      <c r="C165" s="16" t="s">
        <v>46</v>
      </c>
      <c r="D165" s="17" t="s">
        <v>52</v>
      </c>
      <c r="E165" s="16" t="s">
        <v>48</v>
      </c>
      <c r="F165" s="17" t="n">
        <v>9</v>
      </c>
      <c r="G165" s="18" t="n">
        <v>8.16532332183816</v>
      </c>
      <c r="H165" s="19" t="n">
        <v>9.15950472601931E-015</v>
      </c>
      <c r="I165" s="19" t="n">
        <v>5.67889293013197E-013</v>
      </c>
      <c r="J165" s="20" t="str">
        <f aca="false">IF(G165&lt;0,"QUANTUM","Classical")</f>
        <v>Classical</v>
      </c>
      <c r="K165" s="21" t="str">
        <f aca="false">IF(H165&lt;0.05,"yes","no")</f>
        <v>yes</v>
      </c>
      <c r="L165" s="21"/>
    </row>
    <row r="166" customFormat="false" ht="15" hidden="false" customHeight="false" outlineLevel="0" collapsed="false">
      <c r="A166" s="16" t="s">
        <v>50</v>
      </c>
      <c r="B166" s="17" t="n">
        <v>8</v>
      </c>
      <c r="C166" s="16" t="s">
        <v>46</v>
      </c>
      <c r="D166" s="17" t="s">
        <v>52</v>
      </c>
      <c r="E166" s="16" t="s">
        <v>48</v>
      </c>
      <c r="F166" s="17" t="n">
        <v>0</v>
      </c>
      <c r="G166" s="18" t="n">
        <v>7.20016332982523</v>
      </c>
      <c r="H166" s="19" t="n">
        <v>7.84126130240874E-012</v>
      </c>
      <c r="I166" s="19" t="n">
        <v>3.68539281213211E-010</v>
      </c>
      <c r="J166" s="20" t="str">
        <f aca="false">IF(G166&lt;0,"QUANTUM","Classical")</f>
        <v>Classical</v>
      </c>
      <c r="K166" s="21" t="str">
        <f aca="false">IF(H166&lt;0.05,"yes","no")</f>
        <v>yes</v>
      </c>
      <c r="L166" s="21"/>
    </row>
    <row r="167" customFormat="false" ht="15" hidden="false" customHeight="false" outlineLevel="0" collapsed="false">
      <c r="A167" s="16" t="s">
        <v>50</v>
      </c>
      <c r="B167" s="17" t="n">
        <v>8</v>
      </c>
      <c r="C167" s="16" t="s">
        <v>46</v>
      </c>
      <c r="D167" s="17" t="s">
        <v>52</v>
      </c>
      <c r="E167" s="16" t="s">
        <v>48</v>
      </c>
      <c r="F167" s="17" t="n">
        <v>1</v>
      </c>
      <c r="G167" s="18" t="n">
        <v>8.05193818182825</v>
      </c>
      <c r="H167" s="19" t="n">
        <v>3.89803041858647E-014</v>
      </c>
      <c r="I167" s="19" t="n">
        <v>2.29983794696602E-012</v>
      </c>
      <c r="J167" s="20" t="str">
        <f aca="false">IF(G167&lt;0,"QUANTUM","Classical")</f>
        <v>Classical</v>
      </c>
      <c r="K167" s="21" t="str">
        <f aca="false">IF(H167&lt;0.05,"yes","no")</f>
        <v>yes</v>
      </c>
      <c r="L167" s="21"/>
    </row>
    <row r="168" customFormat="false" ht="15" hidden="false" customHeight="false" outlineLevel="0" collapsed="false">
      <c r="A168" s="16" t="s">
        <v>50</v>
      </c>
      <c r="B168" s="17" t="n">
        <v>8</v>
      </c>
      <c r="C168" s="16" t="s">
        <v>46</v>
      </c>
      <c r="D168" s="17" t="s">
        <v>52</v>
      </c>
      <c r="E168" s="16" t="s">
        <v>48</v>
      </c>
      <c r="F168" s="17" t="n">
        <v>2</v>
      </c>
      <c r="G168" s="18" t="n">
        <v>6.74480824762513</v>
      </c>
      <c r="H168" s="19" t="n">
        <v>1.15269702068449E-010</v>
      </c>
      <c r="I168" s="19" t="n">
        <v>2.65120314757433E-009</v>
      </c>
      <c r="J168" s="20" t="str">
        <f aca="false">IF(G168&lt;0,"QUANTUM","Classical")</f>
        <v>Classical</v>
      </c>
      <c r="K168" s="21" t="str">
        <f aca="false">IF(H168&lt;0.05,"yes","no")</f>
        <v>yes</v>
      </c>
      <c r="L168" s="21"/>
    </row>
    <row r="169" customFormat="false" ht="15" hidden="false" customHeight="false" outlineLevel="0" collapsed="false">
      <c r="A169" s="16" t="s">
        <v>50</v>
      </c>
      <c r="B169" s="17" t="n">
        <v>8</v>
      </c>
      <c r="C169" s="16" t="s">
        <v>46</v>
      </c>
      <c r="D169" s="17" t="s">
        <v>52</v>
      </c>
      <c r="E169" s="16" t="s">
        <v>48</v>
      </c>
      <c r="F169" s="17" t="n">
        <v>3</v>
      </c>
      <c r="G169" s="18" t="n">
        <v>7.14505286839209</v>
      </c>
      <c r="H169" s="19" t="n">
        <v>1.09186578846625E-011</v>
      </c>
      <c r="I169" s="19" t="n">
        <v>4.45119996659486E-010</v>
      </c>
      <c r="J169" s="20" t="str">
        <f aca="false">IF(G169&lt;0,"QUANTUM","Classical")</f>
        <v>Classical</v>
      </c>
      <c r="K169" s="21" t="str">
        <f aca="false">IF(H169&lt;0.05,"yes","no")</f>
        <v>yes</v>
      </c>
      <c r="L169" s="21"/>
    </row>
    <row r="170" customFormat="false" ht="15" hidden="false" customHeight="false" outlineLevel="0" collapsed="false">
      <c r="A170" s="16" t="s">
        <v>50</v>
      </c>
      <c r="B170" s="17" t="n">
        <v>8</v>
      </c>
      <c r="C170" s="16" t="s">
        <v>46</v>
      </c>
      <c r="D170" s="17" t="s">
        <v>52</v>
      </c>
      <c r="E170" s="16" t="s">
        <v>48</v>
      </c>
      <c r="F170" s="17" t="n">
        <v>4</v>
      </c>
      <c r="G170" s="18" t="n">
        <v>6.85358082756413</v>
      </c>
      <c r="H170" s="19" t="n">
        <v>6.1266234353172E-011</v>
      </c>
      <c r="I170" s="19" t="n">
        <v>1.77672079624199E-009</v>
      </c>
      <c r="J170" s="20" t="str">
        <f aca="false">IF(G170&lt;0,"QUANTUM","Classical")</f>
        <v>Classical</v>
      </c>
      <c r="K170" s="21" t="str">
        <f aca="false">IF(H170&lt;0.05,"yes","no")</f>
        <v>yes</v>
      </c>
      <c r="L170" s="21"/>
    </row>
    <row r="171" customFormat="false" ht="15" hidden="false" customHeight="false" outlineLevel="0" collapsed="false">
      <c r="A171" s="16" t="s">
        <v>50</v>
      </c>
      <c r="B171" s="17" t="n">
        <v>8</v>
      </c>
      <c r="C171" s="16" t="s">
        <v>46</v>
      </c>
      <c r="D171" s="17" t="s">
        <v>52</v>
      </c>
      <c r="E171" s="16" t="s">
        <v>48</v>
      </c>
      <c r="F171" s="17" t="n">
        <v>5</v>
      </c>
      <c r="G171" s="18" t="n">
        <v>6.68648625575153</v>
      </c>
      <c r="H171" s="19" t="n">
        <v>1.61338232750298E-010</v>
      </c>
      <c r="I171" s="19" t="n">
        <v>3.38810288775626E-009</v>
      </c>
      <c r="J171" s="20" t="str">
        <f aca="false">IF(G171&lt;0,"QUANTUM","Classical")</f>
        <v>Classical</v>
      </c>
      <c r="K171" s="21" t="str">
        <f aca="false">IF(H171&lt;0.05,"yes","no")</f>
        <v>yes</v>
      </c>
      <c r="L171" s="21"/>
    </row>
    <row r="172" customFormat="false" ht="15" hidden="false" customHeight="false" outlineLevel="0" collapsed="false">
      <c r="A172" s="16" t="s">
        <v>50</v>
      </c>
      <c r="B172" s="17" t="n">
        <v>8</v>
      </c>
      <c r="C172" s="16" t="s">
        <v>46</v>
      </c>
      <c r="D172" s="17" t="s">
        <v>52</v>
      </c>
      <c r="E172" s="16" t="s">
        <v>48</v>
      </c>
      <c r="F172" s="17" t="n">
        <v>6</v>
      </c>
      <c r="G172" s="18" t="n">
        <v>7.49945841854962</v>
      </c>
      <c r="H172" s="19" t="n">
        <v>1.26471725285069E-012</v>
      </c>
      <c r="I172" s="19" t="n">
        <v>6.68359574448638E-011</v>
      </c>
      <c r="J172" s="20" t="str">
        <f aca="false">IF(G172&lt;0,"QUANTUM","Classical")</f>
        <v>Classical</v>
      </c>
      <c r="K172" s="21" t="str">
        <f aca="false">IF(H172&lt;0.05,"yes","no")</f>
        <v>yes</v>
      </c>
      <c r="L172" s="21"/>
    </row>
    <row r="173" customFormat="false" ht="15" hidden="false" customHeight="false" outlineLevel="0" collapsed="false">
      <c r="A173" s="16" t="s">
        <v>50</v>
      </c>
      <c r="B173" s="17" t="n">
        <v>8</v>
      </c>
      <c r="C173" s="16" t="s">
        <v>46</v>
      </c>
      <c r="D173" s="17" t="s">
        <v>52</v>
      </c>
      <c r="E173" s="16" t="s">
        <v>48</v>
      </c>
      <c r="F173" s="17" t="n">
        <v>7</v>
      </c>
      <c r="G173" s="18" t="n">
        <v>7.49992834525065</v>
      </c>
      <c r="H173" s="19" t="n">
        <v>1.26105580084649E-012</v>
      </c>
      <c r="I173" s="19" t="n">
        <v>6.68359574448638E-011</v>
      </c>
      <c r="J173" s="20" t="str">
        <f aca="false">IF(G173&lt;0,"QUANTUM","Classical")</f>
        <v>Classical</v>
      </c>
      <c r="K173" s="21" t="str">
        <f aca="false">IF(H173&lt;0.05,"yes","no")</f>
        <v>yes</v>
      </c>
      <c r="L173" s="21"/>
    </row>
    <row r="174" customFormat="false" ht="15" hidden="false" customHeight="false" outlineLevel="0" collapsed="false">
      <c r="A174" s="16" t="s">
        <v>50</v>
      </c>
      <c r="B174" s="17" t="n">
        <v>8</v>
      </c>
      <c r="C174" s="16" t="s">
        <v>46</v>
      </c>
      <c r="D174" s="17" t="s">
        <v>52</v>
      </c>
      <c r="E174" s="16" t="s">
        <v>48</v>
      </c>
      <c r="F174" s="17" t="n">
        <v>8</v>
      </c>
      <c r="G174" s="18" t="n">
        <v>7.42322889230317</v>
      </c>
      <c r="H174" s="19" t="n">
        <v>2.02130388743382E-012</v>
      </c>
      <c r="I174" s="19" t="n">
        <v>1.01065194371691E-010</v>
      </c>
      <c r="J174" s="20" t="str">
        <f aca="false">IF(G174&lt;0,"QUANTUM","Classical")</f>
        <v>Classical</v>
      </c>
      <c r="K174" s="21" t="str">
        <f aca="false">IF(H174&lt;0.05,"yes","no")</f>
        <v>yes</v>
      </c>
      <c r="L174" s="21"/>
    </row>
    <row r="175" customFormat="false" ht="15" hidden="false" customHeight="false" outlineLevel="0" collapsed="false">
      <c r="A175" s="16" t="s">
        <v>50</v>
      </c>
      <c r="B175" s="17" t="n">
        <v>8</v>
      </c>
      <c r="C175" s="16" t="s">
        <v>46</v>
      </c>
      <c r="D175" s="17" t="s">
        <v>52</v>
      </c>
      <c r="E175" s="16" t="s">
        <v>48</v>
      </c>
      <c r="F175" s="17" t="n">
        <v>9</v>
      </c>
      <c r="G175" s="18" t="n">
        <v>6.93290439933113</v>
      </c>
      <c r="H175" s="19" t="n">
        <v>3.84853928905078E-011</v>
      </c>
      <c r="I175" s="19" t="n">
        <v>1.29023209483065E-009</v>
      </c>
      <c r="J175" s="20" t="str">
        <f aca="false">IF(G175&lt;0,"QUANTUM","Classical")</f>
        <v>Classical</v>
      </c>
      <c r="K175" s="21" t="str">
        <f aca="false">IF(H175&lt;0.05,"yes","no")</f>
        <v>yes</v>
      </c>
      <c r="L175" s="21"/>
    </row>
    <row r="176" customFormat="false" ht="15" hidden="false" customHeight="false" outlineLevel="0" collapsed="false">
      <c r="A176" s="16" t="s">
        <v>50</v>
      </c>
      <c r="B176" s="17" t="n">
        <v>10</v>
      </c>
      <c r="C176" s="16" t="s">
        <v>46</v>
      </c>
      <c r="D176" s="17" t="s">
        <v>52</v>
      </c>
      <c r="E176" s="16" t="s">
        <v>48</v>
      </c>
      <c r="F176" s="17" t="n">
        <v>0</v>
      </c>
      <c r="G176" s="18" t="n">
        <v>4.75205454247767</v>
      </c>
      <c r="H176" s="19" t="n">
        <v>5.729587724151E-006</v>
      </c>
      <c r="I176" s="19" t="n">
        <v>6.29831665521471E-005</v>
      </c>
      <c r="J176" s="20" t="str">
        <f aca="false">IF(G176&lt;0,"QUANTUM","Classical")</f>
        <v>Classical</v>
      </c>
      <c r="K176" s="21" t="str">
        <f aca="false">IF(H176&lt;0.05,"yes","no")</f>
        <v>yes</v>
      </c>
      <c r="L176" s="21"/>
    </row>
    <row r="177" customFormat="false" ht="15" hidden="false" customHeight="false" outlineLevel="0" collapsed="false">
      <c r="A177" s="16" t="s">
        <v>50</v>
      </c>
      <c r="B177" s="17" t="n">
        <v>10</v>
      </c>
      <c r="C177" s="16" t="s">
        <v>46</v>
      </c>
      <c r="D177" s="17" t="s">
        <v>52</v>
      </c>
      <c r="E177" s="16" t="s">
        <v>48</v>
      </c>
      <c r="F177" s="17" t="n">
        <v>1</v>
      </c>
      <c r="G177" s="18" t="n">
        <v>4.61549662705497</v>
      </c>
      <c r="H177" s="19" t="n">
        <v>1.00480681180087E-005</v>
      </c>
      <c r="I177" s="19" t="n">
        <v>6.29831665521471E-005</v>
      </c>
      <c r="J177" s="20" t="str">
        <f aca="false">IF(G177&lt;0,"QUANTUM","Classical")</f>
        <v>Classical</v>
      </c>
      <c r="K177" s="21" t="str">
        <f aca="false">IF(H177&lt;0.05,"yes","no")</f>
        <v>yes</v>
      </c>
      <c r="L177" s="21"/>
    </row>
    <row r="178" customFormat="false" ht="15" hidden="false" customHeight="false" outlineLevel="0" collapsed="false">
      <c r="A178" s="16" t="s">
        <v>50</v>
      </c>
      <c r="B178" s="17" t="n">
        <v>10</v>
      </c>
      <c r="C178" s="16" t="s">
        <v>46</v>
      </c>
      <c r="D178" s="17" t="s">
        <v>52</v>
      </c>
      <c r="E178" s="16" t="s">
        <v>48</v>
      </c>
      <c r="F178" s="17" t="n">
        <v>2</v>
      </c>
      <c r="G178" s="18" t="n">
        <v>4.44240337687255</v>
      </c>
      <c r="H178" s="19" t="n">
        <v>2.01810613861537E-005</v>
      </c>
      <c r="I178" s="19" t="n">
        <v>6.99470485308004E-005</v>
      </c>
      <c r="J178" s="20" t="str">
        <f aca="false">IF(G178&lt;0,"QUANTUM","Classical")</f>
        <v>Classical</v>
      </c>
      <c r="K178" s="21" t="str">
        <f aca="false">IF(H178&lt;0.05,"yes","no")</f>
        <v>yes</v>
      </c>
      <c r="L178" s="21"/>
    </row>
    <row r="179" customFormat="false" ht="15" hidden="false" customHeight="false" outlineLevel="0" collapsed="false">
      <c r="A179" s="16" t="s">
        <v>50</v>
      </c>
      <c r="B179" s="17" t="n">
        <v>10</v>
      </c>
      <c r="C179" s="16" t="s">
        <v>46</v>
      </c>
      <c r="D179" s="17" t="s">
        <v>52</v>
      </c>
      <c r="E179" s="16" t="s">
        <v>48</v>
      </c>
      <c r="F179" s="17" t="n">
        <v>3</v>
      </c>
      <c r="G179" s="18" t="n">
        <v>4.71131485759574</v>
      </c>
      <c r="H179" s="19" t="n">
        <v>6.78201930123698E-006</v>
      </c>
      <c r="I179" s="19" t="n">
        <v>6.29831665521471E-005</v>
      </c>
      <c r="J179" s="20" t="str">
        <f aca="false">IF(G179&lt;0,"QUANTUM","Classical")</f>
        <v>Classical</v>
      </c>
      <c r="K179" s="21" t="str">
        <f aca="false">IF(H179&lt;0.05,"yes","no")</f>
        <v>yes</v>
      </c>
      <c r="L179" s="21"/>
    </row>
    <row r="180" customFormat="false" ht="15" hidden="false" customHeight="false" outlineLevel="0" collapsed="false">
      <c r="A180" s="16" t="s">
        <v>50</v>
      </c>
      <c r="B180" s="17" t="n">
        <v>10</v>
      </c>
      <c r="C180" s="16" t="s">
        <v>46</v>
      </c>
      <c r="D180" s="17" t="s">
        <v>52</v>
      </c>
      <c r="E180" s="16" t="s">
        <v>48</v>
      </c>
      <c r="F180" s="17" t="n">
        <v>4</v>
      </c>
      <c r="G180" s="18" t="n">
        <v>4.61319812024387</v>
      </c>
      <c r="H180" s="19" t="n">
        <v>1.01426486684809E-005</v>
      </c>
      <c r="I180" s="19" t="n">
        <v>6.29831665521471E-005</v>
      </c>
      <c r="J180" s="20" t="str">
        <f aca="false">IF(G180&lt;0,"QUANTUM","Classical")</f>
        <v>Classical</v>
      </c>
      <c r="K180" s="21" t="str">
        <f aca="false">IF(H180&lt;0.05,"yes","no")</f>
        <v>yes</v>
      </c>
      <c r="L180" s="21"/>
    </row>
    <row r="181" customFormat="false" ht="15" hidden="false" customHeight="false" outlineLevel="0" collapsed="false">
      <c r="A181" s="16" t="s">
        <v>51</v>
      </c>
      <c r="B181" s="17" t="n">
        <v>4</v>
      </c>
      <c r="C181" s="16" t="s">
        <v>46</v>
      </c>
      <c r="D181" s="17" t="s">
        <v>52</v>
      </c>
      <c r="E181" s="16" t="s">
        <v>48</v>
      </c>
      <c r="F181" s="17" t="n">
        <v>0</v>
      </c>
      <c r="G181" s="18" t="n">
        <v>9.83283804347385</v>
      </c>
      <c r="H181" s="19" t="n">
        <v>6.06023716191766E-020</v>
      </c>
      <c r="I181" s="19" t="n">
        <v>6.66626087810943E-018</v>
      </c>
      <c r="J181" s="20" t="str">
        <f aca="false">IF(G181&lt;0,"QUANTUM","Classical")</f>
        <v>Classical</v>
      </c>
      <c r="K181" s="21" t="str">
        <f aca="false">IF(H181&lt;0.05,"yes","no")</f>
        <v>yes</v>
      </c>
      <c r="L181" s="21"/>
    </row>
    <row r="182" customFormat="false" ht="15" hidden="false" customHeight="false" outlineLevel="0" collapsed="false">
      <c r="A182" s="16" t="s">
        <v>51</v>
      </c>
      <c r="B182" s="17" t="n">
        <v>4</v>
      </c>
      <c r="C182" s="16" t="s">
        <v>46</v>
      </c>
      <c r="D182" s="17" t="s">
        <v>52</v>
      </c>
      <c r="E182" s="16" t="s">
        <v>48</v>
      </c>
      <c r="F182" s="17" t="n">
        <v>1</v>
      </c>
      <c r="G182" s="18" t="n">
        <v>11.3750994454827</v>
      </c>
      <c r="H182" s="19" t="n">
        <v>3.85132624557751E-025</v>
      </c>
      <c r="I182" s="19" t="n">
        <v>6.35468830520289E-023</v>
      </c>
      <c r="J182" s="20" t="str">
        <f aca="false">IF(G182&lt;0,"QUANTUM","Classical")</f>
        <v>Classical</v>
      </c>
      <c r="K182" s="21" t="str">
        <f aca="false">IF(H182&lt;0.05,"yes","no")</f>
        <v>yes</v>
      </c>
      <c r="L182" s="21"/>
    </row>
    <row r="183" customFormat="false" ht="15" hidden="false" customHeight="false" outlineLevel="0" collapsed="false">
      <c r="A183" s="16" t="s">
        <v>51</v>
      </c>
      <c r="B183" s="17" t="n">
        <v>4</v>
      </c>
      <c r="C183" s="16" t="s">
        <v>46</v>
      </c>
      <c r="D183" s="17" t="s">
        <v>52</v>
      </c>
      <c r="E183" s="16" t="s">
        <v>48</v>
      </c>
      <c r="F183" s="17" t="n">
        <v>2</v>
      </c>
      <c r="G183" s="18" t="n">
        <v>8.87830113281641</v>
      </c>
      <c r="H183" s="19" t="n">
        <v>6.49283767568939E-017</v>
      </c>
      <c r="I183" s="19" t="n">
        <v>4.73977150325326E-015</v>
      </c>
      <c r="J183" s="20" t="str">
        <f aca="false">IF(G183&lt;0,"QUANTUM","Classical")</f>
        <v>Classical</v>
      </c>
      <c r="K183" s="21" t="str">
        <f aca="false">IF(H183&lt;0.05,"yes","no")</f>
        <v>yes</v>
      </c>
      <c r="L183" s="21"/>
    </row>
    <row r="184" customFormat="false" ht="15" hidden="false" customHeight="false" outlineLevel="0" collapsed="false">
      <c r="A184" s="16" t="s">
        <v>51</v>
      </c>
      <c r="B184" s="17" t="n">
        <v>4</v>
      </c>
      <c r="C184" s="16" t="s">
        <v>46</v>
      </c>
      <c r="D184" s="17" t="s">
        <v>52</v>
      </c>
      <c r="E184" s="16" t="s">
        <v>48</v>
      </c>
      <c r="F184" s="17" t="n">
        <v>3</v>
      </c>
      <c r="G184" s="18" t="n">
        <v>10.9204582257321</v>
      </c>
      <c r="H184" s="19" t="n">
        <v>1.41597901505095E-023</v>
      </c>
      <c r="I184" s="19" t="n">
        <v>2.16644789302796E-021</v>
      </c>
      <c r="J184" s="20" t="str">
        <f aca="false">IF(G184&lt;0,"QUANTUM","Classical")</f>
        <v>Classical</v>
      </c>
      <c r="K184" s="21" t="str">
        <f aca="false">IF(H184&lt;0.05,"yes","no")</f>
        <v>yes</v>
      </c>
      <c r="L184" s="21"/>
    </row>
    <row r="185" customFormat="false" ht="15" hidden="false" customHeight="false" outlineLevel="0" collapsed="false">
      <c r="A185" s="16" t="s">
        <v>51</v>
      </c>
      <c r="B185" s="17" t="n">
        <v>4</v>
      </c>
      <c r="C185" s="16" t="s">
        <v>46</v>
      </c>
      <c r="D185" s="17" t="s">
        <v>52</v>
      </c>
      <c r="E185" s="16" t="s">
        <v>48</v>
      </c>
      <c r="F185" s="17" t="n">
        <v>4</v>
      </c>
      <c r="G185" s="18" t="n">
        <v>8.92072542508799</v>
      </c>
      <c r="H185" s="19" t="n">
        <v>4.80072395531635E-017</v>
      </c>
      <c r="I185" s="19" t="n">
        <v>3.60054296648726E-015</v>
      </c>
      <c r="J185" s="20" t="str">
        <f aca="false">IF(G185&lt;0,"QUANTUM","Classical")</f>
        <v>Classical</v>
      </c>
      <c r="K185" s="21" t="str">
        <f aca="false">IF(H185&lt;0.05,"yes","no")</f>
        <v>yes</v>
      </c>
      <c r="L185" s="21"/>
    </row>
    <row r="186" customFormat="false" ht="15" hidden="false" customHeight="false" outlineLevel="0" collapsed="false">
      <c r="A186" s="16" t="s">
        <v>51</v>
      </c>
      <c r="B186" s="17" t="n">
        <v>4</v>
      </c>
      <c r="C186" s="16" t="s">
        <v>46</v>
      </c>
      <c r="D186" s="17" t="s">
        <v>52</v>
      </c>
      <c r="E186" s="16" t="s">
        <v>48</v>
      </c>
      <c r="F186" s="17" t="n">
        <v>5</v>
      </c>
      <c r="G186" s="18" t="n">
        <v>10.2212727531413</v>
      </c>
      <c r="H186" s="19" t="n">
        <v>3.20269327218793E-021</v>
      </c>
      <c r="I186" s="19" t="n">
        <v>4.3236359174537E-019</v>
      </c>
      <c r="J186" s="20" t="str">
        <f aca="false">IF(G186&lt;0,"QUANTUM","Classical")</f>
        <v>Classical</v>
      </c>
      <c r="K186" s="21" t="str">
        <f aca="false">IF(H186&lt;0.05,"yes","no")</f>
        <v>yes</v>
      </c>
      <c r="L186" s="21"/>
    </row>
    <row r="187" customFormat="false" ht="15" hidden="false" customHeight="false" outlineLevel="0" collapsed="false">
      <c r="A187" s="16" t="s">
        <v>51</v>
      </c>
      <c r="B187" s="17" t="n">
        <v>4</v>
      </c>
      <c r="C187" s="16" t="s">
        <v>46</v>
      </c>
      <c r="D187" s="17" t="s">
        <v>52</v>
      </c>
      <c r="E187" s="16" t="s">
        <v>48</v>
      </c>
      <c r="F187" s="17" t="n">
        <v>6</v>
      </c>
      <c r="G187" s="18" t="n">
        <v>8.73955512772199</v>
      </c>
      <c r="H187" s="19" t="n">
        <v>1.73311925256053E-016</v>
      </c>
      <c r="I187" s="19" t="n">
        <v>1.23051466931797E-014</v>
      </c>
      <c r="J187" s="20" t="str">
        <f aca="false">IF(G187&lt;0,"QUANTUM","Classical")</f>
        <v>Classical</v>
      </c>
      <c r="K187" s="21" t="str">
        <f aca="false">IF(H187&lt;0.05,"yes","no")</f>
        <v>yes</v>
      </c>
      <c r="L187" s="21"/>
    </row>
    <row r="188" customFormat="false" ht="15" hidden="false" customHeight="false" outlineLevel="0" collapsed="false">
      <c r="A188" s="16" t="s">
        <v>51</v>
      </c>
      <c r="B188" s="17" t="n">
        <v>4</v>
      </c>
      <c r="C188" s="16" t="s">
        <v>46</v>
      </c>
      <c r="D188" s="17" t="s">
        <v>52</v>
      </c>
      <c r="E188" s="16" t="s">
        <v>48</v>
      </c>
      <c r="F188" s="17" t="n">
        <v>7</v>
      </c>
      <c r="G188" s="18" t="n">
        <v>9.85492217426462</v>
      </c>
      <c r="H188" s="19" t="n">
        <v>5.13485110797876E-020</v>
      </c>
      <c r="I188" s="19" t="n">
        <v>5.75103324093621E-018</v>
      </c>
      <c r="J188" s="20" t="str">
        <f aca="false">IF(G188&lt;0,"QUANTUM","Classical")</f>
        <v>Classical</v>
      </c>
      <c r="K188" s="21" t="str">
        <f aca="false">IF(H188&lt;0.05,"yes","no")</f>
        <v>yes</v>
      </c>
      <c r="L188" s="21"/>
    </row>
    <row r="189" customFormat="false" ht="15" hidden="false" customHeight="false" outlineLevel="0" collapsed="false">
      <c r="A189" s="16" t="s">
        <v>51</v>
      </c>
      <c r="B189" s="17" t="n">
        <v>4</v>
      </c>
      <c r="C189" s="16" t="s">
        <v>46</v>
      </c>
      <c r="D189" s="17" t="s">
        <v>52</v>
      </c>
      <c r="E189" s="16" t="s">
        <v>48</v>
      </c>
      <c r="F189" s="17" t="n">
        <v>8</v>
      </c>
      <c r="G189" s="18" t="n">
        <v>10.1779649645309</v>
      </c>
      <c r="H189" s="19" t="n">
        <v>4.45702621118303E-021</v>
      </c>
      <c r="I189" s="19" t="n">
        <v>5.97241512298526E-019</v>
      </c>
      <c r="J189" s="20" t="str">
        <f aca="false">IF(G189&lt;0,"QUANTUM","Classical")</f>
        <v>Classical</v>
      </c>
      <c r="K189" s="21" t="str">
        <f aca="false">IF(H189&lt;0.05,"yes","no")</f>
        <v>yes</v>
      </c>
      <c r="L189" s="21"/>
    </row>
    <row r="190" customFormat="false" ht="15" hidden="false" customHeight="false" outlineLevel="0" collapsed="false">
      <c r="A190" s="16" t="s">
        <v>51</v>
      </c>
      <c r="B190" s="17" t="n">
        <v>4</v>
      </c>
      <c r="C190" s="16" t="s">
        <v>46</v>
      </c>
      <c r="D190" s="17" t="s">
        <v>52</v>
      </c>
      <c r="E190" s="16" t="s">
        <v>48</v>
      </c>
      <c r="F190" s="17" t="n">
        <v>9</v>
      </c>
      <c r="G190" s="18" t="n">
        <v>9.65666136355246</v>
      </c>
      <c r="H190" s="19" t="n">
        <v>2.25787677174599E-019</v>
      </c>
      <c r="I190" s="19" t="n">
        <v>2.28045553946345E-017</v>
      </c>
      <c r="J190" s="20" t="str">
        <f aca="false">IF(G190&lt;0,"QUANTUM","Classical")</f>
        <v>Classical</v>
      </c>
      <c r="K190" s="21" t="str">
        <f aca="false">IF(H190&lt;0.05,"yes","no")</f>
        <v>yes</v>
      </c>
      <c r="L190" s="21"/>
    </row>
    <row r="191" customFormat="false" ht="15" hidden="false" customHeight="false" outlineLevel="0" collapsed="false">
      <c r="A191" s="16" t="s">
        <v>51</v>
      </c>
      <c r="B191" s="17" t="n">
        <v>6</v>
      </c>
      <c r="C191" s="16" t="s">
        <v>46</v>
      </c>
      <c r="D191" s="17" t="s">
        <v>52</v>
      </c>
      <c r="E191" s="16" t="s">
        <v>48</v>
      </c>
      <c r="F191" s="17" t="n">
        <v>0</v>
      </c>
      <c r="G191" s="18" t="n">
        <v>9.46403958584677</v>
      </c>
      <c r="H191" s="19" t="n">
        <v>9.38104772909568E-019</v>
      </c>
      <c r="I191" s="19" t="n">
        <v>8.53675343347707E-017</v>
      </c>
      <c r="J191" s="20" t="str">
        <f aca="false">IF(G191&lt;0,"QUANTUM","Classical")</f>
        <v>Classical</v>
      </c>
      <c r="K191" s="21" t="str">
        <f aca="false">IF(H191&lt;0.05,"yes","no")</f>
        <v>yes</v>
      </c>
      <c r="L191" s="21"/>
    </row>
    <row r="192" customFormat="false" ht="15" hidden="false" customHeight="false" outlineLevel="0" collapsed="false">
      <c r="A192" s="16" t="s">
        <v>51</v>
      </c>
      <c r="B192" s="17" t="n">
        <v>6</v>
      </c>
      <c r="C192" s="16" t="s">
        <v>46</v>
      </c>
      <c r="D192" s="17" t="s">
        <v>52</v>
      </c>
      <c r="E192" s="16" t="s">
        <v>48</v>
      </c>
      <c r="F192" s="17" t="n">
        <v>1</v>
      </c>
      <c r="G192" s="18" t="n">
        <v>8.72099630163642</v>
      </c>
      <c r="H192" s="19" t="n">
        <v>1.97503766122275E-016</v>
      </c>
      <c r="I192" s="19" t="n">
        <v>1.38252636285593E-014</v>
      </c>
      <c r="J192" s="20" t="str">
        <f aca="false">IF(G192&lt;0,"QUANTUM","Classical")</f>
        <v>Classical</v>
      </c>
      <c r="K192" s="21" t="str">
        <f aca="false">IF(H192&lt;0.05,"yes","no")</f>
        <v>yes</v>
      </c>
      <c r="L192" s="21"/>
    </row>
    <row r="193" customFormat="false" ht="15" hidden="false" customHeight="false" outlineLevel="0" collapsed="false">
      <c r="A193" s="16" t="s">
        <v>51</v>
      </c>
      <c r="B193" s="17" t="n">
        <v>6</v>
      </c>
      <c r="C193" s="16" t="s">
        <v>46</v>
      </c>
      <c r="D193" s="17" t="s">
        <v>52</v>
      </c>
      <c r="E193" s="16" t="s">
        <v>48</v>
      </c>
      <c r="F193" s="17" t="n">
        <v>2</v>
      </c>
      <c r="G193" s="18" t="n">
        <v>10.4376303538432</v>
      </c>
      <c r="H193" s="19" t="n">
        <v>6.0855432909873E-022</v>
      </c>
      <c r="I193" s="19" t="n">
        <v>8.58061604029209E-020</v>
      </c>
      <c r="J193" s="20" t="str">
        <f aca="false">IF(G193&lt;0,"QUANTUM","Classical")</f>
        <v>Classical</v>
      </c>
      <c r="K193" s="21" t="str">
        <f aca="false">IF(H193&lt;0.05,"yes","no")</f>
        <v>yes</v>
      </c>
      <c r="L193" s="21"/>
    </row>
    <row r="194" customFormat="false" ht="15" hidden="false" customHeight="false" outlineLevel="0" collapsed="false">
      <c r="A194" s="16" t="s">
        <v>51</v>
      </c>
      <c r="B194" s="17" t="n">
        <v>6</v>
      </c>
      <c r="C194" s="16" t="s">
        <v>46</v>
      </c>
      <c r="D194" s="17" t="s">
        <v>52</v>
      </c>
      <c r="E194" s="16" t="s">
        <v>48</v>
      </c>
      <c r="F194" s="17" t="n">
        <v>3</v>
      </c>
      <c r="G194" s="18" t="n">
        <v>10.7162519825637</v>
      </c>
      <c r="H194" s="19" t="n">
        <v>7.00938106287975E-023</v>
      </c>
      <c r="I194" s="19" t="n">
        <v>1.03037901624332E-020</v>
      </c>
      <c r="J194" s="20" t="str">
        <f aca="false">IF(G194&lt;0,"QUANTUM","Classical")</f>
        <v>Classical</v>
      </c>
      <c r="K194" s="21" t="str">
        <f aca="false">IF(H194&lt;0.05,"yes","no")</f>
        <v>yes</v>
      </c>
      <c r="L194" s="21"/>
    </row>
    <row r="195" customFormat="false" ht="15" hidden="false" customHeight="false" outlineLevel="0" collapsed="false">
      <c r="A195" s="16" t="s">
        <v>51</v>
      </c>
      <c r="B195" s="17" t="n">
        <v>6</v>
      </c>
      <c r="C195" s="16" t="s">
        <v>46</v>
      </c>
      <c r="D195" s="17" t="s">
        <v>52</v>
      </c>
      <c r="E195" s="16" t="s">
        <v>48</v>
      </c>
      <c r="F195" s="17" t="n">
        <v>4</v>
      </c>
      <c r="G195" s="18" t="n">
        <v>9.97337298907769</v>
      </c>
      <c r="H195" s="19" t="n">
        <v>2.10481920503408E-020</v>
      </c>
      <c r="I195" s="19" t="n">
        <v>2.6310240062926E-018</v>
      </c>
      <c r="J195" s="20" t="str">
        <f aca="false">IF(G195&lt;0,"QUANTUM","Classical")</f>
        <v>Classical</v>
      </c>
      <c r="K195" s="21" t="str">
        <f aca="false">IF(H195&lt;0.05,"yes","no")</f>
        <v>yes</v>
      </c>
      <c r="L195" s="21"/>
    </row>
    <row r="196" customFormat="false" ht="15" hidden="false" customHeight="false" outlineLevel="0" collapsed="false">
      <c r="A196" s="16" t="s">
        <v>51</v>
      </c>
      <c r="B196" s="17" t="n">
        <v>6</v>
      </c>
      <c r="C196" s="16" t="s">
        <v>46</v>
      </c>
      <c r="D196" s="17" t="s">
        <v>52</v>
      </c>
      <c r="E196" s="16" t="s">
        <v>48</v>
      </c>
      <c r="F196" s="17" t="n">
        <v>5</v>
      </c>
      <c r="G196" s="18" t="n">
        <v>10.0911559442581</v>
      </c>
      <c r="H196" s="19" t="n">
        <v>8.62755409145064E-021</v>
      </c>
      <c r="I196" s="19" t="n">
        <v>1.13883714007148E-018</v>
      </c>
      <c r="J196" s="20" t="str">
        <f aca="false">IF(G196&lt;0,"QUANTUM","Classical")</f>
        <v>Classical</v>
      </c>
      <c r="K196" s="21" t="str">
        <f aca="false">IF(H196&lt;0.05,"yes","no")</f>
        <v>yes</v>
      </c>
      <c r="L196" s="21"/>
    </row>
    <row r="197" customFormat="false" ht="15" hidden="false" customHeight="false" outlineLevel="0" collapsed="false">
      <c r="A197" s="16" t="s">
        <v>51</v>
      </c>
      <c r="B197" s="17" t="n">
        <v>6</v>
      </c>
      <c r="C197" s="16" t="s">
        <v>46</v>
      </c>
      <c r="D197" s="17" t="s">
        <v>52</v>
      </c>
      <c r="E197" s="16" t="s">
        <v>48</v>
      </c>
      <c r="F197" s="17" t="n">
        <v>6</v>
      </c>
      <c r="G197" s="18" t="n">
        <v>8.86831261607013</v>
      </c>
      <c r="H197" s="19" t="n">
        <v>6.97038935772032E-017</v>
      </c>
      <c r="I197" s="19" t="n">
        <v>5.01868033755863E-015</v>
      </c>
      <c r="J197" s="20" t="str">
        <f aca="false">IF(G197&lt;0,"QUANTUM","Classical")</f>
        <v>Classical</v>
      </c>
      <c r="K197" s="21" t="str">
        <f aca="false">IF(H197&lt;0.05,"yes","no")</f>
        <v>yes</v>
      </c>
      <c r="L197" s="21"/>
    </row>
    <row r="198" customFormat="false" ht="15" hidden="false" customHeight="false" outlineLevel="0" collapsed="false">
      <c r="A198" s="16" t="s">
        <v>51</v>
      </c>
      <c r="B198" s="17" t="n">
        <v>6</v>
      </c>
      <c r="C198" s="16" t="s">
        <v>46</v>
      </c>
      <c r="D198" s="17" t="s">
        <v>52</v>
      </c>
      <c r="E198" s="16" t="s">
        <v>48</v>
      </c>
      <c r="F198" s="17" t="n">
        <v>7</v>
      </c>
      <c r="G198" s="18" t="n">
        <v>10.4851190085682</v>
      </c>
      <c r="H198" s="19" t="n">
        <v>4.21782830480631E-022</v>
      </c>
      <c r="I198" s="19" t="n">
        <v>5.98931619282496E-020</v>
      </c>
      <c r="J198" s="20" t="str">
        <f aca="false">IF(G198&lt;0,"QUANTUM","Classical")</f>
        <v>Classical</v>
      </c>
      <c r="K198" s="21" t="str">
        <f aca="false">IF(H198&lt;0.05,"yes","no")</f>
        <v>yes</v>
      </c>
      <c r="L198" s="21"/>
    </row>
    <row r="199" customFormat="false" ht="15" hidden="false" customHeight="false" outlineLevel="0" collapsed="false">
      <c r="A199" s="16" t="s">
        <v>51</v>
      </c>
      <c r="B199" s="17" t="n">
        <v>6</v>
      </c>
      <c r="C199" s="16" t="s">
        <v>46</v>
      </c>
      <c r="D199" s="17" t="s">
        <v>52</v>
      </c>
      <c r="E199" s="16" t="s">
        <v>48</v>
      </c>
      <c r="F199" s="17" t="n">
        <v>8</v>
      </c>
      <c r="G199" s="18" t="n">
        <v>9.46644195812661</v>
      </c>
      <c r="H199" s="19" t="n">
        <v>9.21671516036528E-019</v>
      </c>
      <c r="I199" s="19" t="n">
        <v>8.47937794753606E-017</v>
      </c>
      <c r="J199" s="20" t="str">
        <f aca="false">IF(G199&lt;0,"QUANTUM","Classical")</f>
        <v>Classical</v>
      </c>
      <c r="K199" s="21" t="str">
        <f aca="false">IF(H199&lt;0.05,"yes","no")</f>
        <v>yes</v>
      </c>
      <c r="L199" s="21"/>
    </row>
    <row r="200" customFormat="false" ht="15" hidden="false" customHeight="false" outlineLevel="0" collapsed="false">
      <c r="A200" s="16" t="s">
        <v>51</v>
      </c>
      <c r="B200" s="17" t="n">
        <v>6</v>
      </c>
      <c r="C200" s="16" t="s">
        <v>46</v>
      </c>
      <c r="D200" s="17" t="s">
        <v>52</v>
      </c>
      <c r="E200" s="16" t="s">
        <v>48</v>
      </c>
      <c r="F200" s="17" t="n">
        <v>9</v>
      </c>
      <c r="G200" s="18" t="n">
        <v>9.14915187049385</v>
      </c>
      <c r="H200" s="19" t="n">
        <v>9.31922758462186E-018</v>
      </c>
      <c r="I200" s="19" t="n">
        <v>7.26899751600505E-016</v>
      </c>
      <c r="J200" s="20" t="str">
        <f aca="false">IF(G200&lt;0,"QUANTUM","Classical")</f>
        <v>Classical</v>
      </c>
      <c r="K200" s="21" t="str">
        <f aca="false">IF(H200&lt;0.05,"yes","no")</f>
        <v>yes</v>
      </c>
      <c r="L200" s="21"/>
    </row>
    <row r="201" customFormat="false" ht="15" hidden="false" customHeight="false" outlineLevel="0" collapsed="false">
      <c r="A201" s="16" t="s">
        <v>51</v>
      </c>
      <c r="B201" s="17" t="n">
        <v>8</v>
      </c>
      <c r="C201" s="16" t="s">
        <v>46</v>
      </c>
      <c r="D201" s="17" t="s">
        <v>52</v>
      </c>
      <c r="E201" s="16" t="s">
        <v>48</v>
      </c>
      <c r="F201" s="17" t="n">
        <v>0</v>
      </c>
      <c r="G201" s="18" t="n">
        <v>11.1306219326143</v>
      </c>
      <c r="H201" s="19" t="n">
        <v>1.92527610413726E-023</v>
      </c>
      <c r="I201" s="19" t="n">
        <v>2.90716691724726E-021</v>
      </c>
      <c r="J201" s="20" t="str">
        <f aca="false">IF(G201&lt;0,"QUANTUM","Classical")</f>
        <v>Classical</v>
      </c>
      <c r="K201" s="21" t="str">
        <f aca="false">IF(H201&lt;0.05,"yes","no")</f>
        <v>yes</v>
      </c>
      <c r="L201" s="21"/>
    </row>
    <row r="202" customFormat="false" ht="15" hidden="false" customHeight="false" outlineLevel="0" collapsed="false">
      <c r="A202" s="16" t="s">
        <v>51</v>
      </c>
      <c r="B202" s="17" t="n">
        <v>8</v>
      </c>
      <c r="C202" s="16" t="s">
        <v>46</v>
      </c>
      <c r="D202" s="17" t="s">
        <v>52</v>
      </c>
      <c r="E202" s="16" t="s">
        <v>48</v>
      </c>
      <c r="F202" s="17" t="n">
        <v>1</v>
      </c>
      <c r="G202" s="18" t="n">
        <v>9.22708437255404</v>
      </c>
      <c r="H202" s="19" t="n">
        <v>1.56032001908834E-017</v>
      </c>
      <c r="I202" s="19" t="n">
        <v>1.20144641469802E-015</v>
      </c>
      <c r="J202" s="20" t="str">
        <f aca="false">IF(G202&lt;0,"QUANTUM","Classical")</f>
        <v>Classical</v>
      </c>
      <c r="K202" s="21" t="str">
        <f aca="false">IF(H202&lt;0.05,"yes","no")</f>
        <v>yes</v>
      </c>
      <c r="L202" s="21"/>
    </row>
    <row r="203" customFormat="false" ht="15" hidden="false" customHeight="false" outlineLevel="0" collapsed="false">
      <c r="A203" s="16" t="s">
        <v>51</v>
      </c>
      <c r="B203" s="17" t="n">
        <v>8</v>
      </c>
      <c r="C203" s="16" t="s">
        <v>46</v>
      </c>
      <c r="D203" s="17" t="s">
        <v>52</v>
      </c>
      <c r="E203" s="16" t="s">
        <v>48</v>
      </c>
      <c r="F203" s="17" t="n">
        <v>2</v>
      </c>
      <c r="G203" s="18" t="n">
        <v>10.8366210081219</v>
      </c>
      <c r="H203" s="19" t="n">
        <v>1.66980602351555E-022</v>
      </c>
      <c r="I203" s="19" t="n">
        <v>2.40452067386239E-020</v>
      </c>
      <c r="J203" s="20" t="str">
        <f aca="false">IF(G203&lt;0,"QUANTUM","Classical")</f>
        <v>Classical</v>
      </c>
      <c r="K203" s="21" t="str">
        <f aca="false">IF(H203&lt;0.05,"yes","no")</f>
        <v>yes</v>
      </c>
      <c r="L203" s="21"/>
    </row>
    <row r="204" customFormat="false" ht="15" hidden="false" customHeight="false" outlineLevel="0" collapsed="false">
      <c r="A204" s="16" t="s">
        <v>51</v>
      </c>
      <c r="B204" s="17" t="n">
        <v>8</v>
      </c>
      <c r="C204" s="16" t="s">
        <v>46</v>
      </c>
      <c r="D204" s="17" t="s">
        <v>52</v>
      </c>
      <c r="E204" s="16" t="s">
        <v>48</v>
      </c>
      <c r="F204" s="17" t="n">
        <v>3</v>
      </c>
      <c r="G204" s="18" t="n">
        <v>11.0999458781217</v>
      </c>
      <c r="H204" s="19" t="n">
        <v>2.41403193961777E-023</v>
      </c>
      <c r="I204" s="19" t="n">
        <v>3.62104790942665E-021</v>
      </c>
      <c r="J204" s="20" t="str">
        <f aca="false">IF(G204&lt;0,"QUANTUM","Classical")</f>
        <v>Classical</v>
      </c>
      <c r="K204" s="21" t="str">
        <f aca="false">IF(H204&lt;0.05,"yes","no")</f>
        <v>yes</v>
      </c>
      <c r="L204" s="21"/>
    </row>
    <row r="205" customFormat="false" ht="15" hidden="false" customHeight="false" outlineLevel="0" collapsed="false">
      <c r="A205" s="16" t="s">
        <v>51</v>
      </c>
      <c r="B205" s="17" t="n">
        <v>8</v>
      </c>
      <c r="C205" s="16" t="s">
        <v>46</v>
      </c>
      <c r="D205" s="17" t="s">
        <v>52</v>
      </c>
      <c r="E205" s="16" t="s">
        <v>48</v>
      </c>
      <c r="F205" s="17" t="n">
        <v>4</v>
      </c>
      <c r="G205" s="18" t="n">
        <v>12.5116844569262</v>
      </c>
      <c r="H205" s="19" t="n">
        <v>6.14818181244915E-028</v>
      </c>
      <c r="I205" s="19" t="n">
        <v>1.11896908986575E-025</v>
      </c>
      <c r="J205" s="20" t="str">
        <f aca="false">IF(G205&lt;0,"QUANTUM","Classical")</f>
        <v>Classical</v>
      </c>
      <c r="K205" s="21" t="str">
        <f aca="false">IF(H205&lt;0.05,"yes","no")</f>
        <v>yes</v>
      </c>
      <c r="L205" s="21"/>
    </row>
    <row r="206" customFormat="false" ht="15" hidden="false" customHeight="false" outlineLevel="0" collapsed="false">
      <c r="A206" s="16" t="s">
        <v>51</v>
      </c>
      <c r="B206" s="17" t="n">
        <v>8</v>
      </c>
      <c r="C206" s="16" t="s">
        <v>46</v>
      </c>
      <c r="D206" s="17" t="s">
        <v>52</v>
      </c>
      <c r="E206" s="16" t="s">
        <v>48</v>
      </c>
      <c r="F206" s="17" t="n">
        <v>5</v>
      </c>
      <c r="G206" s="18" t="n">
        <v>13.0904165111755</v>
      </c>
      <c r="H206" s="19" t="n">
        <v>7.448286017365E-030</v>
      </c>
      <c r="I206" s="19" t="n">
        <v>1.43007091533408E-027</v>
      </c>
      <c r="J206" s="20" t="str">
        <f aca="false">IF(G206&lt;0,"QUANTUM","Classical")</f>
        <v>Classical</v>
      </c>
      <c r="K206" s="21" t="str">
        <f aca="false">IF(H206&lt;0.05,"yes","no")</f>
        <v>yes</v>
      </c>
      <c r="L206" s="21"/>
    </row>
    <row r="207" customFormat="false" ht="15" hidden="false" customHeight="false" outlineLevel="0" collapsed="false">
      <c r="A207" s="16" t="s">
        <v>51</v>
      </c>
      <c r="B207" s="17" t="n">
        <v>8</v>
      </c>
      <c r="C207" s="16" t="s">
        <v>46</v>
      </c>
      <c r="D207" s="17" t="s">
        <v>52</v>
      </c>
      <c r="E207" s="16" t="s">
        <v>48</v>
      </c>
      <c r="F207" s="17" t="n">
        <v>6</v>
      </c>
      <c r="G207" s="18" t="n">
        <v>9.47830624397106</v>
      </c>
      <c r="H207" s="19" t="n">
        <v>2.74651296709784E-018</v>
      </c>
      <c r="I207" s="19" t="n">
        <v>2.27960576269121E-016</v>
      </c>
      <c r="J207" s="20" t="str">
        <f aca="false">IF(G207&lt;0,"QUANTUM","Classical")</f>
        <v>Classical</v>
      </c>
      <c r="K207" s="21" t="str">
        <f aca="false">IF(H207&lt;0.05,"yes","no")</f>
        <v>yes</v>
      </c>
      <c r="L207" s="21"/>
    </row>
    <row r="208" customFormat="false" ht="15" hidden="false" customHeight="false" outlineLevel="0" collapsed="false">
      <c r="A208" s="16" t="s">
        <v>51</v>
      </c>
      <c r="B208" s="17" t="n">
        <v>8</v>
      </c>
      <c r="C208" s="16" t="s">
        <v>46</v>
      </c>
      <c r="D208" s="17" t="s">
        <v>52</v>
      </c>
      <c r="E208" s="16" t="s">
        <v>48</v>
      </c>
      <c r="F208" s="17" t="n">
        <v>7</v>
      </c>
      <c r="G208" s="18" t="n">
        <v>11.5501094480456</v>
      </c>
      <c r="H208" s="19" t="n">
        <v>8.57303093315031E-025</v>
      </c>
      <c r="I208" s="19" t="n">
        <v>1.35453888743775E-022</v>
      </c>
      <c r="J208" s="20" t="str">
        <f aca="false">IF(G208&lt;0,"QUANTUM","Classical")</f>
        <v>Classical</v>
      </c>
      <c r="K208" s="21" t="str">
        <f aca="false">IF(H208&lt;0.05,"yes","no")</f>
        <v>yes</v>
      </c>
      <c r="L208" s="21"/>
    </row>
    <row r="209" customFormat="false" ht="15" hidden="false" customHeight="false" outlineLevel="0" collapsed="false">
      <c r="A209" s="16" t="s">
        <v>51</v>
      </c>
      <c r="B209" s="17" t="n">
        <v>8</v>
      </c>
      <c r="C209" s="16" t="s">
        <v>46</v>
      </c>
      <c r="D209" s="17" t="s">
        <v>52</v>
      </c>
      <c r="E209" s="16" t="s">
        <v>48</v>
      </c>
      <c r="F209" s="17" t="n">
        <v>8</v>
      </c>
      <c r="G209" s="18" t="n">
        <v>10.1149558414514</v>
      </c>
      <c r="H209" s="19" t="n">
        <v>3.08510926643628E-020</v>
      </c>
      <c r="I209" s="19" t="n">
        <v>3.60957784173045E-018</v>
      </c>
      <c r="J209" s="20" t="str">
        <f aca="false">IF(G209&lt;0,"QUANTUM","Classical")</f>
        <v>Classical</v>
      </c>
      <c r="K209" s="21" t="str">
        <f aca="false">IF(H209&lt;0.05,"yes","no")</f>
        <v>yes</v>
      </c>
      <c r="L209" s="21"/>
    </row>
    <row r="210" customFormat="false" ht="15" hidden="false" customHeight="false" outlineLevel="0" collapsed="false">
      <c r="A210" s="16" t="s">
        <v>51</v>
      </c>
      <c r="B210" s="17" t="n">
        <v>8</v>
      </c>
      <c r="C210" s="16" t="s">
        <v>46</v>
      </c>
      <c r="D210" s="17" t="s">
        <v>52</v>
      </c>
      <c r="E210" s="16" t="s">
        <v>48</v>
      </c>
      <c r="F210" s="17" t="n">
        <v>9</v>
      </c>
      <c r="G210" s="18" t="n">
        <v>10.9792439998843</v>
      </c>
      <c r="H210" s="19" t="n">
        <v>5.86847875509714E-023</v>
      </c>
      <c r="I210" s="19" t="n">
        <v>8.68534855754377E-021</v>
      </c>
      <c r="J210" s="20" t="str">
        <f aca="false">IF(G210&lt;0,"QUANTUM","Classical")</f>
        <v>Classical</v>
      </c>
      <c r="K210" s="21" t="str">
        <f aca="false">IF(H210&lt;0.05,"yes","no")</f>
        <v>yes</v>
      </c>
      <c r="L210" s="21"/>
    </row>
    <row r="211" customFormat="false" ht="15" hidden="false" customHeight="false" outlineLevel="0" collapsed="false">
      <c r="A211" s="16" t="s">
        <v>51</v>
      </c>
      <c r="B211" s="17" t="n">
        <v>10</v>
      </c>
      <c r="C211" s="16" t="s">
        <v>46</v>
      </c>
      <c r="D211" s="17" t="s">
        <v>52</v>
      </c>
      <c r="E211" s="16" t="s">
        <v>48</v>
      </c>
      <c r="F211" s="17" t="n">
        <v>0</v>
      </c>
      <c r="G211" s="18" t="n">
        <v>5.86704445678136</v>
      </c>
      <c r="H211" s="19" t="n">
        <v>4.14703466601501E-008</v>
      </c>
      <c r="I211" s="19" t="n">
        <v>7.04995893222552E-007</v>
      </c>
      <c r="J211" s="20" t="str">
        <f aca="false">IF(G211&lt;0,"QUANTUM","Classical")</f>
        <v>Classical</v>
      </c>
      <c r="K211" s="21" t="str">
        <f aca="false">IF(H211&lt;0.05,"yes","no")</f>
        <v>yes</v>
      </c>
      <c r="L211" s="21"/>
    </row>
    <row r="212" customFormat="false" ht="15" hidden="false" customHeight="false" outlineLevel="0" collapsed="false">
      <c r="A212" s="16" t="s">
        <v>51</v>
      </c>
      <c r="B212" s="17" t="n">
        <v>10</v>
      </c>
      <c r="C212" s="16" t="s">
        <v>46</v>
      </c>
      <c r="D212" s="17" t="s">
        <v>52</v>
      </c>
      <c r="E212" s="16" t="s">
        <v>48</v>
      </c>
      <c r="F212" s="17" t="n">
        <v>1</v>
      </c>
      <c r="G212" s="18" t="n">
        <v>6.19995870238881</v>
      </c>
      <c r="H212" s="19" t="n">
        <v>8.58972175492163E-009</v>
      </c>
      <c r="I212" s="19" t="n">
        <v>1.63204713343511E-007</v>
      </c>
      <c r="J212" s="20" t="str">
        <f aca="false">IF(G212&lt;0,"QUANTUM","Classical")</f>
        <v>Classical</v>
      </c>
      <c r="K212" s="21" t="str">
        <f aca="false">IF(H212&lt;0.05,"yes","no")</f>
        <v>yes</v>
      </c>
      <c r="L212" s="21"/>
    </row>
    <row r="213" customFormat="false" ht="15" hidden="false" customHeight="false" outlineLevel="0" collapsed="false">
      <c r="A213" s="16" t="s">
        <v>51</v>
      </c>
      <c r="B213" s="17" t="n">
        <v>10</v>
      </c>
      <c r="C213" s="16" t="s">
        <v>46</v>
      </c>
      <c r="D213" s="17" t="s">
        <v>52</v>
      </c>
      <c r="E213" s="16" t="s">
        <v>48</v>
      </c>
      <c r="F213" s="17" t="n">
        <v>2</v>
      </c>
      <c r="G213" s="18" t="n">
        <v>5.86299862329169</v>
      </c>
      <c r="H213" s="19" t="n">
        <v>4.22604175667976E-008</v>
      </c>
      <c r="I213" s="19" t="n">
        <v>7.04995893222552E-007</v>
      </c>
      <c r="J213" s="20" t="str">
        <f aca="false">IF(G213&lt;0,"QUANTUM","Classical")</f>
        <v>Classical</v>
      </c>
      <c r="K213" s="21" t="str">
        <f aca="false">IF(H213&lt;0.05,"yes","no")</f>
        <v>yes</v>
      </c>
      <c r="L213" s="21"/>
    </row>
    <row r="214" customFormat="false" ht="15" hidden="false" customHeight="false" outlineLevel="0" collapsed="false">
      <c r="A214" s="16" t="s">
        <v>51</v>
      </c>
      <c r="B214" s="17" t="n">
        <v>10</v>
      </c>
      <c r="C214" s="16" t="s">
        <v>46</v>
      </c>
      <c r="D214" s="17" t="s">
        <v>52</v>
      </c>
      <c r="E214" s="16" t="s">
        <v>48</v>
      </c>
      <c r="F214" s="17" t="n">
        <v>3</v>
      </c>
      <c r="G214" s="18" t="n">
        <v>5.56686225587736</v>
      </c>
      <c r="H214" s="19" t="n">
        <v>1.6518857334197E-007</v>
      </c>
      <c r="I214" s="19" t="n">
        <v>2.47782860012955E-006</v>
      </c>
      <c r="J214" s="20" t="str">
        <f aca="false">IF(G214&lt;0,"QUANTUM","Classical")</f>
        <v>Classical</v>
      </c>
      <c r="K214" s="21" t="str">
        <f aca="false">IF(H214&lt;0.05,"yes","no")</f>
        <v>yes</v>
      </c>
      <c r="L214" s="21"/>
    </row>
    <row r="215" customFormat="false" ht="15" hidden="false" customHeight="false" outlineLevel="0" collapsed="false">
      <c r="A215" s="16" t="s">
        <v>51</v>
      </c>
      <c r="B215" s="17" t="n">
        <v>10</v>
      </c>
      <c r="C215" s="16" t="s">
        <v>46</v>
      </c>
      <c r="D215" s="17" t="s">
        <v>52</v>
      </c>
      <c r="E215" s="16" t="s">
        <v>48</v>
      </c>
      <c r="F215" s="17" t="n">
        <v>4</v>
      </c>
      <c r="G215" s="18" t="n">
        <v>6.17376249146134</v>
      </c>
      <c r="H215" s="19" t="n">
        <v>9.73711386808081E-009</v>
      </c>
      <c r="I215" s="19" t="n">
        <v>1.75268049625455E-007</v>
      </c>
      <c r="J215" s="20" t="str">
        <f aca="false">IF(G215&lt;0,"QUANTUM","Classical")</f>
        <v>Classical</v>
      </c>
      <c r="K215" s="21" t="str">
        <f aca="false">IF(H215&lt;0.05,"yes","no")</f>
        <v>yes</v>
      </c>
      <c r="L215" s="21"/>
    </row>
    <row r="216" customFormat="false" ht="15" hidden="false" customHeight="false" outlineLevel="0" collapsed="false">
      <c r="A216" s="22" t="s">
        <v>45</v>
      </c>
      <c r="B216" s="23" t="n">
        <v>4</v>
      </c>
      <c r="C216" s="22" t="s">
        <v>46</v>
      </c>
      <c r="D216" s="23" t="s">
        <v>53</v>
      </c>
      <c r="E216" s="22" t="s">
        <v>54</v>
      </c>
      <c r="F216" s="23" t="n">
        <v>0</v>
      </c>
      <c r="G216" s="24" t="n">
        <v>-11.2353139378792</v>
      </c>
      <c r="H216" s="25" t="n">
        <v>1.17382002223732E-024</v>
      </c>
      <c r="I216" s="25"/>
      <c r="J216" s="20" t="str">
        <f aca="false">IF(G216&lt;0,"QUANTUM","Classical")</f>
        <v>QUANTUM</v>
      </c>
      <c r="K216" s="21" t="str">
        <f aca="false">IF(H216&lt;0.05,"yes","no")</f>
        <v>yes</v>
      </c>
      <c r="L216" s="21" t="s">
        <v>55</v>
      </c>
    </row>
    <row r="217" customFormat="false" ht="15" hidden="false" customHeight="false" outlineLevel="0" collapsed="false">
      <c r="A217" s="22" t="s">
        <v>45</v>
      </c>
      <c r="B217" s="23" t="n">
        <v>4</v>
      </c>
      <c r="C217" s="22" t="s">
        <v>46</v>
      </c>
      <c r="D217" s="23" t="s">
        <v>53</v>
      </c>
      <c r="E217" s="22" t="s">
        <v>54</v>
      </c>
      <c r="F217" s="23" t="n">
        <v>1</v>
      </c>
      <c r="G217" s="24" t="n">
        <v>-13.7734518678162</v>
      </c>
      <c r="H217" s="25" t="n">
        <v>9.76481345619729E-034</v>
      </c>
      <c r="I217" s="25"/>
      <c r="J217" s="20" t="str">
        <f aca="false">IF(G217&lt;0,"QUANTUM","Classical")</f>
        <v>QUANTUM</v>
      </c>
      <c r="K217" s="21" t="str">
        <f aca="false">IF(H217&lt;0.05,"yes","no")</f>
        <v>yes</v>
      </c>
      <c r="L217" s="21" t="s">
        <v>55</v>
      </c>
    </row>
    <row r="218" customFormat="false" ht="15" hidden="false" customHeight="false" outlineLevel="0" collapsed="false">
      <c r="A218" s="22" t="s">
        <v>45</v>
      </c>
      <c r="B218" s="23" t="n">
        <v>4</v>
      </c>
      <c r="C218" s="22" t="s">
        <v>46</v>
      </c>
      <c r="D218" s="23" t="s">
        <v>53</v>
      </c>
      <c r="E218" s="22" t="s">
        <v>54</v>
      </c>
      <c r="F218" s="23" t="n">
        <v>2</v>
      </c>
      <c r="G218" s="24" t="n">
        <v>-11.5111229764972</v>
      </c>
      <c r="H218" s="25" t="n">
        <v>1.29559917166357E-025</v>
      </c>
      <c r="I218" s="25"/>
      <c r="J218" s="20" t="str">
        <f aca="false">IF(G218&lt;0,"QUANTUM","Classical")</f>
        <v>QUANTUM</v>
      </c>
      <c r="K218" s="21" t="str">
        <f aca="false">IF(H218&lt;0.05,"yes","no")</f>
        <v>yes</v>
      </c>
      <c r="L218" s="21" t="s">
        <v>55</v>
      </c>
    </row>
    <row r="219" customFormat="false" ht="15" hidden="false" customHeight="false" outlineLevel="0" collapsed="false">
      <c r="A219" s="22" t="s">
        <v>45</v>
      </c>
      <c r="B219" s="23" t="n">
        <v>4</v>
      </c>
      <c r="C219" s="22" t="s">
        <v>46</v>
      </c>
      <c r="D219" s="23" t="s">
        <v>53</v>
      </c>
      <c r="E219" s="22" t="s">
        <v>54</v>
      </c>
      <c r="F219" s="23" t="n">
        <v>3</v>
      </c>
      <c r="G219" s="24" t="n">
        <v>-11.8992984903449</v>
      </c>
      <c r="H219" s="25" t="n">
        <v>5.63754937543245E-027</v>
      </c>
      <c r="I219" s="25"/>
      <c r="J219" s="20" t="str">
        <f aca="false">IF(G219&lt;0,"QUANTUM","Classical")</f>
        <v>QUANTUM</v>
      </c>
      <c r="K219" s="21" t="str">
        <f aca="false">IF(H219&lt;0.05,"yes","no")</f>
        <v>yes</v>
      </c>
      <c r="L219" s="21" t="s">
        <v>55</v>
      </c>
    </row>
    <row r="220" customFormat="false" ht="15" hidden="false" customHeight="false" outlineLevel="0" collapsed="false">
      <c r="A220" s="22" t="s">
        <v>45</v>
      </c>
      <c r="B220" s="23" t="n">
        <v>4</v>
      </c>
      <c r="C220" s="22" t="s">
        <v>46</v>
      </c>
      <c r="D220" s="23" t="s">
        <v>53</v>
      </c>
      <c r="E220" s="22" t="s">
        <v>54</v>
      </c>
      <c r="F220" s="23" t="n">
        <v>4</v>
      </c>
      <c r="G220" s="24" t="n">
        <v>-11.6064394041917</v>
      </c>
      <c r="H220" s="25" t="n">
        <v>6.02123776850768E-026</v>
      </c>
      <c r="I220" s="25"/>
      <c r="J220" s="20" t="str">
        <f aca="false">IF(G220&lt;0,"QUANTUM","Classical")</f>
        <v>QUANTUM</v>
      </c>
      <c r="K220" s="21" t="str">
        <f aca="false">IF(H220&lt;0.05,"yes","no")</f>
        <v>yes</v>
      </c>
      <c r="L220" s="21" t="s">
        <v>55</v>
      </c>
    </row>
    <row r="221" customFormat="false" ht="15" hidden="false" customHeight="false" outlineLevel="0" collapsed="false">
      <c r="A221" s="22" t="s">
        <v>45</v>
      </c>
      <c r="B221" s="23" t="n">
        <v>4</v>
      </c>
      <c r="C221" s="22" t="s">
        <v>46</v>
      </c>
      <c r="D221" s="23" t="s">
        <v>53</v>
      </c>
      <c r="E221" s="22" t="s">
        <v>54</v>
      </c>
      <c r="F221" s="23" t="n">
        <v>5</v>
      </c>
      <c r="G221" s="24" t="n">
        <v>-8.81451806953684</v>
      </c>
      <c r="H221" s="25" t="n">
        <v>1.0207553713625E-016</v>
      </c>
      <c r="I221" s="25"/>
      <c r="J221" s="20" t="str">
        <f aca="false">IF(G221&lt;0,"QUANTUM","Classical")</f>
        <v>QUANTUM</v>
      </c>
      <c r="K221" s="21" t="str">
        <f aca="false">IF(H221&lt;0.05,"yes","no")</f>
        <v>yes</v>
      </c>
      <c r="L221" s="21" t="s">
        <v>55</v>
      </c>
    </row>
    <row r="222" customFormat="false" ht="15" hidden="false" customHeight="false" outlineLevel="0" collapsed="false">
      <c r="A222" s="22" t="s">
        <v>45</v>
      </c>
      <c r="B222" s="23" t="n">
        <v>4</v>
      </c>
      <c r="C222" s="22" t="s">
        <v>46</v>
      </c>
      <c r="D222" s="23" t="s">
        <v>53</v>
      </c>
      <c r="E222" s="22" t="s">
        <v>54</v>
      </c>
      <c r="F222" s="23" t="n">
        <v>6</v>
      </c>
      <c r="G222" s="24" t="n">
        <v>-9.73702859994592</v>
      </c>
      <c r="H222" s="25" t="n">
        <v>1.24098188934382E-019</v>
      </c>
      <c r="I222" s="25"/>
      <c r="J222" s="20" t="str">
        <f aca="false">IF(G222&lt;0,"QUANTUM","Classical")</f>
        <v>QUANTUM</v>
      </c>
      <c r="K222" s="21" t="str">
        <f aca="false">IF(H222&lt;0.05,"yes","no")</f>
        <v>yes</v>
      </c>
      <c r="L222" s="21" t="s">
        <v>55</v>
      </c>
    </row>
    <row r="223" customFormat="false" ht="15" hidden="false" customHeight="false" outlineLevel="0" collapsed="false">
      <c r="A223" s="22" t="s">
        <v>45</v>
      </c>
      <c r="B223" s="23" t="n">
        <v>4</v>
      </c>
      <c r="C223" s="22" t="s">
        <v>46</v>
      </c>
      <c r="D223" s="23" t="s">
        <v>53</v>
      </c>
      <c r="E223" s="22" t="s">
        <v>54</v>
      </c>
      <c r="F223" s="23" t="n">
        <v>7</v>
      </c>
      <c r="G223" s="24" t="n">
        <v>-10.11725847291</v>
      </c>
      <c r="H223" s="25" t="n">
        <v>7.07552283465538E-021</v>
      </c>
      <c r="I223" s="25"/>
      <c r="J223" s="20" t="str">
        <f aca="false">IF(G223&lt;0,"QUANTUM","Classical")</f>
        <v>QUANTUM</v>
      </c>
      <c r="K223" s="21" t="str">
        <f aca="false">IF(H223&lt;0.05,"yes","no")</f>
        <v>yes</v>
      </c>
      <c r="L223" s="21" t="s">
        <v>55</v>
      </c>
    </row>
    <row r="224" customFormat="false" ht="15" hidden="false" customHeight="false" outlineLevel="0" collapsed="false">
      <c r="A224" s="22" t="s">
        <v>45</v>
      </c>
      <c r="B224" s="23" t="n">
        <v>4</v>
      </c>
      <c r="C224" s="22" t="s">
        <v>46</v>
      </c>
      <c r="D224" s="23" t="s">
        <v>53</v>
      </c>
      <c r="E224" s="22" t="s">
        <v>54</v>
      </c>
      <c r="F224" s="23" t="n">
        <v>8</v>
      </c>
      <c r="G224" s="24" t="n">
        <v>-10.9364656091839</v>
      </c>
      <c r="H224" s="25" t="n">
        <v>1.24846378907713E-023</v>
      </c>
      <c r="I224" s="25"/>
      <c r="J224" s="20" t="str">
        <f aca="false">IF(G224&lt;0,"QUANTUM","Classical")</f>
        <v>QUANTUM</v>
      </c>
      <c r="K224" s="21" t="str">
        <f aca="false">IF(H224&lt;0.05,"yes","no")</f>
        <v>yes</v>
      </c>
      <c r="L224" s="21" t="s">
        <v>55</v>
      </c>
    </row>
    <row r="225" customFormat="false" ht="15" hidden="false" customHeight="false" outlineLevel="0" collapsed="false">
      <c r="A225" s="22" t="s">
        <v>45</v>
      </c>
      <c r="B225" s="23" t="n">
        <v>4</v>
      </c>
      <c r="C225" s="22" t="s">
        <v>46</v>
      </c>
      <c r="D225" s="23" t="s">
        <v>53</v>
      </c>
      <c r="E225" s="22" t="s">
        <v>54</v>
      </c>
      <c r="F225" s="23" t="n">
        <v>9</v>
      </c>
      <c r="G225" s="24" t="n">
        <v>-11.455545915113</v>
      </c>
      <c r="H225" s="25" t="n">
        <v>2.02321706026111E-025</v>
      </c>
      <c r="I225" s="25"/>
      <c r="J225" s="20" t="str">
        <f aca="false">IF(G225&lt;0,"QUANTUM","Classical")</f>
        <v>QUANTUM</v>
      </c>
      <c r="K225" s="21" t="str">
        <f aca="false">IF(H225&lt;0.05,"yes","no")</f>
        <v>yes</v>
      </c>
      <c r="L225" s="21" t="s">
        <v>55</v>
      </c>
    </row>
    <row r="226" customFormat="false" ht="15" hidden="false" customHeight="false" outlineLevel="0" collapsed="false">
      <c r="A226" s="22" t="s">
        <v>45</v>
      </c>
      <c r="B226" s="23" t="n">
        <v>6</v>
      </c>
      <c r="C226" s="22" t="s">
        <v>46</v>
      </c>
      <c r="D226" s="23" t="s">
        <v>53</v>
      </c>
      <c r="E226" s="22" t="s">
        <v>54</v>
      </c>
      <c r="F226" s="23" t="n">
        <v>0</v>
      </c>
      <c r="G226" s="24" t="n">
        <v>-9.53418338862199</v>
      </c>
      <c r="H226" s="25" t="n">
        <v>5.59423931905441E-019</v>
      </c>
      <c r="I226" s="25"/>
      <c r="J226" s="20" t="str">
        <f aca="false">IF(G226&lt;0,"QUANTUM","Classical")</f>
        <v>QUANTUM</v>
      </c>
      <c r="K226" s="21" t="str">
        <f aca="false">IF(H226&lt;0.05,"yes","no")</f>
        <v>yes</v>
      </c>
      <c r="L226" s="21" t="s">
        <v>55</v>
      </c>
    </row>
    <row r="227" customFormat="false" ht="15" hidden="false" customHeight="false" outlineLevel="0" collapsed="false">
      <c r="A227" s="22" t="s">
        <v>45</v>
      </c>
      <c r="B227" s="23" t="n">
        <v>6</v>
      </c>
      <c r="C227" s="22" t="s">
        <v>46</v>
      </c>
      <c r="D227" s="23" t="s">
        <v>53</v>
      </c>
      <c r="E227" s="22" t="s">
        <v>54</v>
      </c>
      <c r="F227" s="23" t="n">
        <v>1</v>
      </c>
      <c r="G227" s="24" t="n">
        <v>-9.59513522493923</v>
      </c>
      <c r="H227" s="25" t="n">
        <v>3.56421167649923E-019</v>
      </c>
      <c r="I227" s="25"/>
      <c r="J227" s="20" t="str">
        <f aca="false">IF(G227&lt;0,"QUANTUM","Classical")</f>
        <v>QUANTUM</v>
      </c>
      <c r="K227" s="21" t="str">
        <f aca="false">IF(H227&lt;0.05,"yes","no")</f>
        <v>yes</v>
      </c>
      <c r="L227" s="21" t="s">
        <v>55</v>
      </c>
    </row>
    <row r="228" customFormat="false" ht="15" hidden="false" customHeight="false" outlineLevel="0" collapsed="false">
      <c r="A228" s="22" t="s">
        <v>45</v>
      </c>
      <c r="B228" s="23" t="n">
        <v>6</v>
      </c>
      <c r="C228" s="22" t="s">
        <v>46</v>
      </c>
      <c r="D228" s="23" t="s">
        <v>53</v>
      </c>
      <c r="E228" s="22" t="s">
        <v>54</v>
      </c>
      <c r="F228" s="23" t="n">
        <v>2</v>
      </c>
      <c r="G228" s="24" t="n">
        <v>-13.1333257068318</v>
      </c>
      <c r="H228" s="25" t="n">
        <v>2.1325779016094E-031</v>
      </c>
      <c r="I228" s="25"/>
      <c r="J228" s="20" t="str">
        <f aca="false">IF(G228&lt;0,"QUANTUM","Classical")</f>
        <v>QUANTUM</v>
      </c>
      <c r="K228" s="21" t="str">
        <f aca="false">IF(H228&lt;0.05,"yes","no")</f>
        <v>yes</v>
      </c>
      <c r="L228" s="21" t="s">
        <v>55</v>
      </c>
    </row>
    <row r="229" customFormat="false" ht="15" hidden="false" customHeight="false" outlineLevel="0" collapsed="false">
      <c r="A229" s="22" t="s">
        <v>45</v>
      </c>
      <c r="B229" s="23" t="n">
        <v>6</v>
      </c>
      <c r="C229" s="22" t="s">
        <v>46</v>
      </c>
      <c r="D229" s="23" t="s">
        <v>53</v>
      </c>
      <c r="E229" s="22" t="s">
        <v>54</v>
      </c>
      <c r="F229" s="23" t="n">
        <v>3</v>
      </c>
      <c r="G229" s="24" t="n">
        <v>-10.1191508017226</v>
      </c>
      <c r="H229" s="25" t="n">
        <v>6.97445774749295E-021</v>
      </c>
      <c r="I229" s="25"/>
      <c r="J229" s="20" t="str">
        <f aca="false">IF(G229&lt;0,"QUANTUM","Classical")</f>
        <v>QUANTUM</v>
      </c>
      <c r="K229" s="21" t="str">
        <f aca="false">IF(H229&lt;0.05,"yes","no")</f>
        <v>yes</v>
      </c>
      <c r="L229" s="21" t="s">
        <v>55</v>
      </c>
    </row>
    <row r="230" customFormat="false" ht="15" hidden="false" customHeight="false" outlineLevel="0" collapsed="false">
      <c r="A230" s="22" t="s">
        <v>45</v>
      </c>
      <c r="B230" s="23" t="n">
        <v>6</v>
      </c>
      <c r="C230" s="22" t="s">
        <v>46</v>
      </c>
      <c r="D230" s="23" t="s">
        <v>53</v>
      </c>
      <c r="E230" s="22" t="s">
        <v>54</v>
      </c>
      <c r="F230" s="23" t="n">
        <v>4</v>
      </c>
      <c r="G230" s="24" t="n">
        <v>-10.5115157175726</v>
      </c>
      <c r="H230" s="25" t="n">
        <v>3.43916169695268E-022</v>
      </c>
      <c r="I230" s="25"/>
      <c r="J230" s="20" t="str">
        <f aca="false">IF(G230&lt;0,"QUANTUM","Classical")</f>
        <v>QUANTUM</v>
      </c>
      <c r="K230" s="21" t="str">
        <f aca="false">IF(H230&lt;0.05,"yes","no")</f>
        <v>yes</v>
      </c>
      <c r="L230" s="21" t="s">
        <v>55</v>
      </c>
    </row>
    <row r="231" customFormat="false" ht="15" hidden="false" customHeight="false" outlineLevel="0" collapsed="false">
      <c r="A231" s="22" t="s">
        <v>45</v>
      </c>
      <c r="B231" s="23" t="n">
        <v>6</v>
      </c>
      <c r="C231" s="22" t="s">
        <v>46</v>
      </c>
      <c r="D231" s="23" t="s">
        <v>53</v>
      </c>
      <c r="E231" s="22" t="s">
        <v>54</v>
      </c>
      <c r="F231" s="23" t="n">
        <v>5</v>
      </c>
      <c r="G231" s="24" t="n">
        <v>-12.1204279643603</v>
      </c>
      <c r="H231" s="25" t="n">
        <v>9.30303803070385E-028</v>
      </c>
      <c r="I231" s="25"/>
      <c r="J231" s="20" t="str">
        <f aca="false">IF(G231&lt;0,"QUANTUM","Classical")</f>
        <v>QUANTUM</v>
      </c>
      <c r="K231" s="21" t="str">
        <f aca="false">IF(H231&lt;0.05,"yes","no")</f>
        <v>yes</v>
      </c>
      <c r="L231" s="21" t="s">
        <v>55</v>
      </c>
    </row>
    <row r="232" customFormat="false" ht="15" hidden="false" customHeight="false" outlineLevel="0" collapsed="false">
      <c r="A232" s="22" t="s">
        <v>45</v>
      </c>
      <c r="B232" s="23" t="n">
        <v>6</v>
      </c>
      <c r="C232" s="22" t="s">
        <v>46</v>
      </c>
      <c r="D232" s="23" t="s">
        <v>53</v>
      </c>
      <c r="E232" s="22" t="s">
        <v>54</v>
      </c>
      <c r="F232" s="23" t="n">
        <v>6</v>
      </c>
      <c r="G232" s="24" t="n">
        <v>-9.88549193052767</v>
      </c>
      <c r="H232" s="25" t="n">
        <v>4.08117610846517E-020</v>
      </c>
      <c r="I232" s="25"/>
      <c r="J232" s="20" t="str">
        <f aca="false">IF(G232&lt;0,"QUANTUM","Classical")</f>
        <v>QUANTUM</v>
      </c>
      <c r="K232" s="21" t="str">
        <f aca="false">IF(H232&lt;0.05,"yes","no")</f>
        <v>yes</v>
      </c>
      <c r="L232" s="21" t="s">
        <v>55</v>
      </c>
    </row>
    <row r="233" customFormat="false" ht="15" hidden="false" customHeight="false" outlineLevel="0" collapsed="false">
      <c r="A233" s="22" t="s">
        <v>45</v>
      </c>
      <c r="B233" s="23" t="n">
        <v>6</v>
      </c>
      <c r="C233" s="22" t="s">
        <v>46</v>
      </c>
      <c r="D233" s="23" t="s">
        <v>53</v>
      </c>
      <c r="E233" s="22" t="s">
        <v>54</v>
      </c>
      <c r="F233" s="23" t="n">
        <v>7</v>
      </c>
      <c r="G233" s="24" t="n">
        <v>-9.72635659056409</v>
      </c>
      <c r="H233" s="25" t="n">
        <v>1.3438297621249E-019</v>
      </c>
      <c r="I233" s="25"/>
      <c r="J233" s="20" t="str">
        <f aca="false">IF(G233&lt;0,"QUANTUM","Classical")</f>
        <v>QUANTUM</v>
      </c>
      <c r="K233" s="21" t="str">
        <f aca="false">IF(H233&lt;0.05,"yes","no")</f>
        <v>yes</v>
      </c>
      <c r="L233" s="21" t="s">
        <v>55</v>
      </c>
    </row>
    <row r="234" customFormat="false" ht="15" hidden="false" customHeight="false" outlineLevel="0" collapsed="false">
      <c r="A234" s="22" t="s">
        <v>45</v>
      </c>
      <c r="B234" s="23" t="n">
        <v>6</v>
      </c>
      <c r="C234" s="22" t="s">
        <v>46</v>
      </c>
      <c r="D234" s="23" t="s">
        <v>53</v>
      </c>
      <c r="E234" s="22" t="s">
        <v>54</v>
      </c>
      <c r="F234" s="23" t="n">
        <v>8</v>
      </c>
      <c r="G234" s="24" t="n">
        <v>-11.1163094311595</v>
      </c>
      <c r="H234" s="25" t="n">
        <v>3.01855347391946E-024</v>
      </c>
      <c r="I234" s="25"/>
      <c r="J234" s="20" t="str">
        <f aca="false">IF(G234&lt;0,"QUANTUM","Classical")</f>
        <v>QUANTUM</v>
      </c>
      <c r="K234" s="21" t="str">
        <f aca="false">IF(H234&lt;0.05,"yes","no")</f>
        <v>yes</v>
      </c>
      <c r="L234" s="21" t="s">
        <v>55</v>
      </c>
    </row>
    <row r="235" customFormat="false" ht="15" hidden="false" customHeight="false" outlineLevel="0" collapsed="false">
      <c r="A235" s="22" t="s">
        <v>45</v>
      </c>
      <c r="B235" s="23" t="n">
        <v>6</v>
      </c>
      <c r="C235" s="22" t="s">
        <v>46</v>
      </c>
      <c r="D235" s="23" t="s">
        <v>53</v>
      </c>
      <c r="E235" s="22" t="s">
        <v>54</v>
      </c>
      <c r="F235" s="23" t="n">
        <v>9</v>
      </c>
      <c r="G235" s="24" t="n">
        <v>-12.3422312728982</v>
      </c>
      <c r="H235" s="25" t="n">
        <v>1.51035032175793E-028</v>
      </c>
      <c r="I235" s="25"/>
      <c r="J235" s="20" t="str">
        <f aca="false">IF(G235&lt;0,"QUANTUM","Classical")</f>
        <v>QUANTUM</v>
      </c>
      <c r="K235" s="21" t="str">
        <f aca="false">IF(H235&lt;0.05,"yes","no")</f>
        <v>yes</v>
      </c>
      <c r="L235" s="21" t="s">
        <v>55</v>
      </c>
    </row>
    <row r="236" customFormat="false" ht="15" hidden="false" customHeight="false" outlineLevel="0" collapsed="false">
      <c r="A236" s="22" t="s">
        <v>45</v>
      </c>
      <c r="B236" s="23" t="n">
        <v>8</v>
      </c>
      <c r="C236" s="22" t="s">
        <v>46</v>
      </c>
      <c r="D236" s="23" t="s">
        <v>53</v>
      </c>
      <c r="E236" s="22" t="s">
        <v>54</v>
      </c>
      <c r="F236" s="23" t="n">
        <v>0</v>
      </c>
      <c r="G236" s="24" t="n">
        <v>-9.62048318106406</v>
      </c>
      <c r="H236" s="25" t="n">
        <v>1.01845399996759E-018</v>
      </c>
      <c r="I236" s="25"/>
      <c r="J236" s="20" t="str">
        <f aca="false">IF(G236&lt;0,"QUANTUM","Classical")</f>
        <v>QUANTUM</v>
      </c>
      <c r="K236" s="21" t="str">
        <f aca="false">IF(H236&lt;0.05,"yes","no")</f>
        <v>yes</v>
      </c>
      <c r="L236" s="21" t="s">
        <v>55</v>
      </c>
    </row>
    <row r="237" customFormat="false" ht="15" hidden="false" customHeight="false" outlineLevel="0" collapsed="false">
      <c r="A237" s="22" t="s">
        <v>45</v>
      </c>
      <c r="B237" s="23" t="n">
        <v>8</v>
      </c>
      <c r="C237" s="22" t="s">
        <v>46</v>
      </c>
      <c r="D237" s="23" t="s">
        <v>53</v>
      </c>
      <c r="E237" s="22" t="s">
        <v>54</v>
      </c>
      <c r="F237" s="23" t="n">
        <v>1</v>
      </c>
      <c r="G237" s="24" t="n">
        <v>-10.592736125014</v>
      </c>
      <c r="H237" s="25" t="n">
        <v>9.87948513669653E-022</v>
      </c>
      <c r="I237" s="25"/>
      <c r="J237" s="20" t="str">
        <f aca="false">IF(G237&lt;0,"QUANTUM","Classical")</f>
        <v>QUANTUM</v>
      </c>
      <c r="K237" s="21" t="str">
        <f aca="false">IF(H237&lt;0.05,"yes","no")</f>
        <v>yes</v>
      </c>
      <c r="L237" s="21" t="s">
        <v>55</v>
      </c>
    </row>
    <row r="238" customFormat="false" ht="15" hidden="false" customHeight="false" outlineLevel="0" collapsed="false">
      <c r="A238" s="22" t="s">
        <v>45</v>
      </c>
      <c r="B238" s="23" t="n">
        <v>8</v>
      </c>
      <c r="C238" s="22" t="s">
        <v>46</v>
      </c>
      <c r="D238" s="23" t="s">
        <v>53</v>
      </c>
      <c r="E238" s="22" t="s">
        <v>54</v>
      </c>
      <c r="F238" s="23" t="n">
        <v>2</v>
      </c>
      <c r="G238" s="24" t="n">
        <v>-8.39467809979282</v>
      </c>
      <c r="H238" s="25" t="n">
        <v>4.20824797048844E-015</v>
      </c>
      <c r="I238" s="25"/>
      <c r="J238" s="20" t="str">
        <f aca="false">IF(G238&lt;0,"QUANTUM","Classical")</f>
        <v>QUANTUM</v>
      </c>
      <c r="K238" s="21" t="str">
        <f aca="false">IF(H238&lt;0.05,"yes","no")</f>
        <v>yes</v>
      </c>
      <c r="L238" s="21" t="s">
        <v>55</v>
      </c>
    </row>
    <row r="239" customFormat="false" ht="15" hidden="false" customHeight="false" outlineLevel="0" collapsed="false">
      <c r="A239" s="22" t="s">
        <v>45</v>
      </c>
      <c r="B239" s="23" t="n">
        <v>8</v>
      </c>
      <c r="C239" s="22" t="s">
        <v>46</v>
      </c>
      <c r="D239" s="23" t="s">
        <v>53</v>
      </c>
      <c r="E239" s="22" t="s">
        <v>54</v>
      </c>
      <c r="F239" s="23" t="n">
        <v>3</v>
      </c>
      <c r="G239" s="24" t="n">
        <v>-8.68735891023975</v>
      </c>
      <c r="H239" s="25" t="n">
        <v>6.05586230761953E-016</v>
      </c>
      <c r="I239" s="25"/>
      <c r="J239" s="20" t="str">
        <f aca="false">IF(G239&lt;0,"QUANTUM","Classical")</f>
        <v>QUANTUM</v>
      </c>
      <c r="K239" s="21" t="str">
        <f aca="false">IF(H239&lt;0.05,"yes","no")</f>
        <v>yes</v>
      </c>
      <c r="L239" s="21" t="s">
        <v>55</v>
      </c>
    </row>
    <row r="240" customFormat="false" ht="15" hidden="false" customHeight="false" outlineLevel="0" collapsed="false">
      <c r="A240" s="22" t="s">
        <v>45</v>
      </c>
      <c r="B240" s="23" t="n">
        <v>8</v>
      </c>
      <c r="C240" s="22" t="s">
        <v>46</v>
      </c>
      <c r="D240" s="23" t="s">
        <v>53</v>
      </c>
      <c r="E240" s="22" t="s">
        <v>54</v>
      </c>
      <c r="F240" s="23" t="n">
        <v>4</v>
      </c>
      <c r="G240" s="24" t="n">
        <v>-10.4717929973656</v>
      </c>
      <c r="H240" s="25" t="n">
        <v>2.37346995410157E-021</v>
      </c>
      <c r="I240" s="25"/>
      <c r="J240" s="20" t="str">
        <f aca="false">IF(G240&lt;0,"QUANTUM","Classical")</f>
        <v>QUANTUM</v>
      </c>
      <c r="K240" s="21" t="str">
        <f aca="false">IF(H240&lt;0.05,"yes","no")</f>
        <v>yes</v>
      </c>
      <c r="L240" s="21" t="s">
        <v>55</v>
      </c>
    </row>
    <row r="241" customFormat="false" ht="15" hidden="false" customHeight="false" outlineLevel="0" collapsed="false">
      <c r="A241" s="22" t="s">
        <v>45</v>
      </c>
      <c r="B241" s="23" t="n">
        <v>8</v>
      </c>
      <c r="C241" s="22" t="s">
        <v>46</v>
      </c>
      <c r="D241" s="23" t="s">
        <v>53</v>
      </c>
      <c r="E241" s="22" t="s">
        <v>54</v>
      </c>
      <c r="F241" s="23" t="n">
        <v>5</v>
      </c>
      <c r="G241" s="24" t="n">
        <v>-9.0505840751837</v>
      </c>
      <c r="H241" s="25" t="n">
        <v>5.22128739358942E-017</v>
      </c>
      <c r="I241" s="25"/>
      <c r="J241" s="20" t="str">
        <f aca="false">IF(G241&lt;0,"QUANTUM","Classical")</f>
        <v>QUANTUM</v>
      </c>
      <c r="K241" s="21" t="str">
        <f aca="false">IF(H241&lt;0.05,"yes","no")</f>
        <v>yes</v>
      </c>
      <c r="L241" s="21" t="s">
        <v>55</v>
      </c>
    </row>
    <row r="242" customFormat="false" ht="15" hidden="false" customHeight="false" outlineLevel="0" collapsed="false">
      <c r="A242" s="22" t="s">
        <v>45</v>
      </c>
      <c r="B242" s="23" t="n">
        <v>8</v>
      </c>
      <c r="C242" s="22" t="s">
        <v>46</v>
      </c>
      <c r="D242" s="23" t="s">
        <v>53</v>
      </c>
      <c r="E242" s="22" t="s">
        <v>54</v>
      </c>
      <c r="F242" s="23" t="n">
        <v>6</v>
      </c>
      <c r="G242" s="24" t="n">
        <v>-9.58353676541585</v>
      </c>
      <c r="H242" s="25" t="n">
        <v>1.31874901305841E-018</v>
      </c>
      <c r="I242" s="25"/>
      <c r="J242" s="20" t="str">
        <f aca="false">IF(G242&lt;0,"QUANTUM","Classical")</f>
        <v>QUANTUM</v>
      </c>
      <c r="K242" s="21" t="str">
        <f aca="false">IF(H242&lt;0.05,"yes","no")</f>
        <v>yes</v>
      </c>
      <c r="L242" s="21" t="s">
        <v>55</v>
      </c>
    </row>
    <row r="243" customFormat="false" ht="15" hidden="false" customHeight="false" outlineLevel="0" collapsed="false">
      <c r="A243" s="22" t="s">
        <v>45</v>
      </c>
      <c r="B243" s="23" t="n">
        <v>8</v>
      </c>
      <c r="C243" s="22" t="s">
        <v>46</v>
      </c>
      <c r="D243" s="23" t="s">
        <v>53</v>
      </c>
      <c r="E243" s="22" t="s">
        <v>54</v>
      </c>
      <c r="F243" s="23" t="n">
        <v>7</v>
      </c>
      <c r="G243" s="24" t="n">
        <v>-10.8581219206574</v>
      </c>
      <c r="H243" s="25" t="n">
        <v>1.42667163766825E-022</v>
      </c>
      <c r="I243" s="25"/>
      <c r="J243" s="20" t="str">
        <f aca="false">IF(G243&lt;0,"QUANTUM","Classical")</f>
        <v>QUANTUM</v>
      </c>
      <c r="K243" s="21" t="str">
        <f aca="false">IF(H243&lt;0.05,"yes","no")</f>
        <v>yes</v>
      </c>
      <c r="L243" s="21" t="s">
        <v>55</v>
      </c>
    </row>
    <row r="244" customFormat="false" ht="15" hidden="false" customHeight="false" outlineLevel="0" collapsed="false">
      <c r="A244" s="22" t="s">
        <v>45</v>
      </c>
      <c r="B244" s="23" t="n">
        <v>8</v>
      </c>
      <c r="C244" s="22" t="s">
        <v>46</v>
      </c>
      <c r="D244" s="23" t="s">
        <v>53</v>
      </c>
      <c r="E244" s="22" t="s">
        <v>54</v>
      </c>
      <c r="F244" s="23" t="n">
        <v>8</v>
      </c>
      <c r="G244" s="24" t="n">
        <v>-10.034071792208</v>
      </c>
      <c r="H244" s="25" t="n">
        <v>5.49214200411579E-020</v>
      </c>
      <c r="I244" s="25"/>
      <c r="J244" s="20" t="str">
        <f aca="false">IF(G244&lt;0,"QUANTUM","Classical")</f>
        <v>QUANTUM</v>
      </c>
      <c r="K244" s="21" t="str">
        <f aca="false">IF(H244&lt;0.05,"yes","no")</f>
        <v>yes</v>
      </c>
      <c r="L244" s="21" t="s">
        <v>55</v>
      </c>
    </row>
    <row r="245" customFormat="false" ht="15" hidden="false" customHeight="false" outlineLevel="0" collapsed="false">
      <c r="A245" s="22" t="s">
        <v>45</v>
      </c>
      <c r="B245" s="23" t="n">
        <v>8</v>
      </c>
      <c r="C245" s="22" t="s">
        <v>46</v>
      </c>
      <c r="D245" s="23" t="s">
        <v>53</v>
      </c>
      <c r="E245" s="22" t="s">
        <v>54</v>
      </c>
      <c r="F245" s="23" t="n">
        <v>9</v>
      </c>
      <c r="G245" s="24" t="n">
        <v>-10.2348774086803</v>
      </c>
      <c r="H245" s="25" t="n">
        <v>1.3077186339789E-020</v>
      </c>
      <c r="I245" s="25"/>
      <c r="J245" s="20" t="str">
        <f aca="false">IF(G245&lt;0,"QUANTUM","Classical")</f>
        <v>QUANTUM</v>
      </c>
      <c r="K245" s="21" t="str">
        <f aca="false">IF(H245&lt;0.05,"yes","no")</f>
        <v>yes</v>
      </c>
      <c r="L245" s="21" t="s">
        <v>55</v>
      </c>
    </row>
    <row r="246" customFormat="false" ht="15" hidden="false" customHeight="false" outlineLevel="0" collapsed="false">
      <c r="A246" s="22" t="s">
        <v>45</v>
      </c>
      <c r="B246" s="23" t="n">
        <v>10</v>
      </c>
      <c r="C246" s="22" t="s">
        <v>46</v>
      </c>
      <c r="D246" s="23" t="s">
        <v>53</v>
      </c>
      <c r="E246" s="22" t="s">
        <v>54</v>
      </c>
      <c r="F246" s="23" t="n">
        <v>0</v>
      </c>
      <c r="G246" s="24" t="n">
        <v>-8.59075871458146</v>
      </c>
      <c r="H246" s="25" t="n">
        <v>4.16565779236772E-014</v>
      </c>
      <c r="I246" s="25"/>
      <c r="J246" s="20" t="str">
        <f aca="false">IF(G246&lt;0,"QUANTUM","Classical")</f>
        <v>QUANTUM</v>
      </c>
      <c r="K246" s="21" t="str">
        <f aca="false">IF(H246&lt;0.05,"yes","no")</f>
        <v>yes</v>
      </c>
      <c r="L246" s="21" t="s">
        <v>55</v>
      </c>
    </row>
    <row r="247" customFormat="false" ht="15" hidden="false" customHeight="false" outlineLevel="0" collapsed="false">
      <c r="A247" s="22" t="s">
        <v>45</v>
      </c>
      <c r="B247" s="23" t="n">
        <v>10</v>
      </c>
      <c r="C247" s="22" t="s">
        <v>46</v>
      </c>
      <c r="D247" s="23" t="s">
        <v>53</v>
      </c>
      <c r="E247" s="22" t="s">
        <v>54</v>
      </c>
      <c r="F247" s="23" t="n">
        <v>1</v>
      </c>
      <c r="G247" s="24" t="n">
        <v>-8.35955539181519</v>
      </c>
      <c r="H247" s="25" t="n">
        <v>1.43125082781196E-013</v>
      </c>
      <c r="I247" s="25"/>
      <c r="J247" s="20" t="str">
        <f aca="false">IF(G247&lt;0,"QUANTUM","Classical")</f>
        <v>QUANTUM</v>
      </c>
      <c r="K247" s="21" t="str">
        <f aca="false">IF(H247&lt;0.05,"yes","no")</f>
        <v>yes</v>
      </c>
      <c r="L247" s="21" t="s">
        <v>55</v>
      </c>
    </row>
    <row r="248" customFormat="false" ht="15" hidden="false" customHeight="false" outlineLevel="0" collapsed="false">
      <c r="A248" s="22" t="s">
        <v>45</v>
      </c>
      <c r="B248" s="23" t="n">
        <v>10</v>
      </c>
      <c r="C248" s="22" t="s">
        <v>46</v>
      </c>
      <c r="D248" s="23" t="s">
        <v>53</v>
      </c>
      <c r="E248" s="22" t="s">
        <v>54</v>
      </c>
      <c r="F248" s="23" t="n">
        <v>2</v>
      </c>
      <c r="G248" s="24" t="n">
        <v>-8.03482042844058</v>
      </c>
      <c r="H248" s="25" t="n">
        <v>7.99390126946459E-013</v>
      </c>
      <c r="I248" s="25"/>
      <c r="J248" s="20" t="str">
        <f aca="false">IF(G248&lt;0,"QUANTUM","Classical")</f>
        <v>QUANTUM</v>
      </c>
      <c r="K248" s="21" t="str">
        <f aca="false">IF(H248&lt;0.05,"yes","no")</f>
        <v>yes</v>
      </c>
      <c r="L248" s="21" t="s">
        <v>55</v>
      </c>
    </row>
    <row r="249" customFormat="false" ht="15" hidden="false" customHeight="false" outlineLevel="0" collapsed="false">
      <c r="A249" s="22" t="s">
        <v>45</v>
      </c>
      <c r="B249" s="23" t="n">
        <v>10</v>
      </c>
      <c r="C249" s="22" t="s">
        <v>46</v>
      </c>
      <c r="D249" s="23" t="s">
        <v>53</v>
      </c>
      <c r="E249" s="22" t="s">
        <v>54</v>
      </c>
      <c r="F249" s="23" t="n">
        <v>3</v>
      </c>
      <c r="G249" s="24" t="n">
        <v>-8.11256346647499</v>
      </c>
      <c r="H249" s="25" t="n">
        <v>5.30382001295579E-013</v>
      </c>
      <c r="I249" s="25"/>
      <c r="J249" s="20" t="str">
        <f aca="false">IF(G249&lt;0,"QUANTUM","Classical")</f>
        <v>QUANTUM</v>
      </c>
      <c r="K249" s="21" t="str">
        <f aca="false">IF(H249&lt;0.05,"yes","no")</f>
        <v>yes</v>
      </c>
      <c r="L249" s="21" t="s">
        <v>55</v>
      </c>
    </row>
    <row r="250" customFormat="false" ht="15" hidden="false" customHeight="false" outlineLevel="0" collapsed="false">
      <c r="A250" s="22" t="s">
        <v>45</v>
      </c>
      <c r="B250" s="23" t="n">
        <v>10</v>
      </c>
      <c r="C250" s="22" t="s">
        <v>46</v>
      </c>
      <c r="D250" s="23" t="s">
        <v>53</v>
      </c>
      <c r="E250" s="22" t="s">
        <v>54</v>
      </c>
      <c r="F250" s="23" t="n">
        <v>4</v>
      </c>
      <c r="G250" s="24" t="n">
        <v>-8.1498424947935</v>
      </c>
      <c r="H250" s="25" t="n">
        <v>4.35508961644115E-013</v>
      </c>
      <c r="I250" s="25"/>
      <c r="J250" s="20" t="str">
        <f aca="false">IF(G250&lt;0,"QUANTUM","Classical")</f>
        <v>QUANTUM</v>
      </c>
      <c r="K250" s="21" t="str">
        <f aca="false">IF(H250&lt;0.05,"yes","no")</f>
        <v>yes</v>
      </c>
      <c r="L250" s="21" t="s">
        <v>55</v>
      </c>
    </row>
    <row r="251" customFormat="false" ht="15" hidden="false" customHeight="false" outlineLevel="0" collapsed="false">
      <c r="A251" s="22" t="s">
        <v>45</v>
      </c>
      <c r="B251" s="23" t="n">
        <v>12</v>
      </c>
      <c r="C251" s="22" t="s">
        <v>46</v>
      </c>
      <c r="D251" s="23" t="s">
        <v>53</v>
      </c>
      <c r="E251" s="22" t="s">
        <v>54</v>
      </c>
      <c r="F251" s="23" t="n">
        <v>0</v>
      </c>
      <c r="G251" s="24" t="n">
        <v>-8.41402895450397</v>
      </c>
      <c r="H251" s="25" t="n">
        <v>1.07080811845639E-013</v>
      </c>
      <c r="I251" s="25"/>
      <c r="J251" s="20" t="str">
        <f aca="false">IF(G251&lt;0,"QUANTUM","Classical")</f>
        <v>QUANTUM</v>
      </c>
      <c r="K251" s="21" t="str">
        <f aca="false">IF(H251&lt;0.05,"yes","no")</f>
        <v>yes</v>
      </c>
      <c r="L251" s="21" t="s">
        <v>55</v>
      </c>
    </row>
    <row r="252" customFormat="false" ht="15" hidden="false" customHeight="false" outlineLevel="0" collapsed="false">
      <c r="A252" s="22" t="s">
        <v>45</v>
      </c>
      <c r="B252" s="23" t="n">
        <v>12</v>
      </c>
      <c r="C252" s="22" t="s">
        <v>46</v>
      </c>
      <c r="D252" s="23" t="s">
        <v>53</v>
      </c>
      <c r="E252" s="22" t="s">
        <v>54</v>
      </c>
      <c r="F252" s="23" t="n">
        <v>1</v>
      </c>
      <c r="G252" s="24" t="n">
        <v>-7.92407455374474</v>
      </c>
      <c r="H252" s="25" t="n">
        <v>1.4314420471663E-012</v>
      </c>
      <c r="I252" s="25"/>
      <c r="J252" s="20" t="str">
        <f aca="false">IF(G252&lt;0,"QUANTUM","Classical")</f>
        <v>QUANTUM</v>
      </c>
      <c r="K252" s="21" t="str">
        <f aca="false">IF(H252&lt;0.05,"yes","no")</f>
        <v>yes</v>
      </c>
      <c r="L252" s="21" t="s">
        <v>55</v>
      </c>
    </row>
    <row r="253" customFormat="false" ht="15" hidden="false" customHeight="false" outlineLevel="0" collapsed="false">
      <c r="A253" s="22" t="s">
        <v>50</v>
      </c>
      <c r="B253" s="23" t="n">
        <v>4</v>
      </c>
      <c r="C253" s="22" t="s">
        <v>46</v>
      </c>
      <c r="D253" s="23" t="s">
        <v>53</v>
      </c>
      <c r="E253" s="22" t="s">
        <v>54</v>
      </c>
      <c r="F253" s="23" t="n">
        <v>0</v>
      </c>
      <c r="G253" s="24" t="n">
        <v>-11.4373198862278</v>
      </c>
      <c r="H253" s="25" t="n">
        <v>2.34124337852952E-025</v>
      </c>
      <c r="I253" s="25"/>
      <c r="J253" s="20" t="str">
        <f aca="false">IF(G253&lt;0,"QUANTUM","Classical")</f>
        <v>QUANTUM</v>
      </c>
      <c r="K253" s="21" t="str">
        <f aca="false">IF(H253&lt;0.05,"yes","no")</f>
        <v>yes</v>
      </c>
      <c r="L253" s="21" t="s">
        <v>55</v>
      </c>
    </row>
    <row r="254" customFormat="false" ht="15" hidden="false" customHeight="false" outlineLevel="0" collapsed="false">
      <c r="A254" s="22" t="s">
        <v>50</v>
      </c>
      <c r="B254" s="23" t="n">
        <v>4</v>
      </c>
      <c r="C254" s="22" t="s">
        <v>46</v>
      </c>
      <c r="D254" s="23" t="s">
        <v>53</v>
      </c>
      <c r="E254" s="22" t="s">
        <v>54</v>
      </c>
      <c r="F254" s="23" t="n">
        <v>1</v>
      </c>
      <c r="G254" s="24" t="n">
        <v>-9.42546835662941</v>
      </c>
      <c r="H254" s="25" t="n">
        <v>1.24549462192609E-018</v>
      </c>
      <c r="I254" s="25"/>
      <c r="J254" s="20" t="str">
        <f aca="false">IF(G254&lt;0,"QUANTUM","Classical")</f>
        <v>QUANTUM</v>
      </c>
      <c r="K254" s="21" t="str">
        <f aca="false">IF(H254&lt;0.05,"yes","no")</f>
        <v>yes</v>
      </c>
      <c r="L254" s="21" t="s">
        <v>55</v>
      </c>
    </row>
    <row r="255" customFormat="false" ht="15" hidden="false" customHeight="false" outlineLevel="0" collapsed="false">
      <c r="A255" s="22" t="s">
        <v>50</v>
      </c>
      <c r="B255" s="23" t="n">
        <v>4</v>
      </c>
      <c r="C255" s="22" t="s">
        <v>46</v>
      </c>
      <c r="D255" s="23" t="s">
        <v>53</v>
      </c>
      <c r="E255" s="22" t="s">
        <v>54</v>
      </c>
      <c r="F255" s="23" t="n">
        <v>2</v>
      </c>
      <c r="G255" s="24" t="n">
        <v>-13.5311197180759</v>
      </c>
      <c r="H255" s="25" t="n">
        <v>7.55546091374266E-033</v>
      </c>
      <c r="I255" s="25"/>
      <c r="J255" s="20" t="str">
        <f aca="false">IF(G255&lt;0,"QUANTUM","Classical")</f>
        <v>QUANTUM</v>
      </c>
      <c r="K255" s="21" t="str">
        <f aca="false">IF(H255&lt;0.05,"yes","no")</f>
        <v>yes</v>
      </c>
      <c r="L255" s="21" t="s">
        <v>55</v>
      </c>
    </row>
    <row r="256" customFormat="false" ht="15" hidden="false" customHeight="false" outlineLevel="0" collapsed="false">
      <c r="A256" s="22" t="s">
        <v>50</v>
      </c>
      <c r="B256" s="23" t="n">
        <v>4</v>
      </c>
      <c r="C256" s="22" t="s">
        <v>46</v>
      </c>
      <c r="D256" s="23" t="s">
        <v>53</v>
      </c>
      <c r="E256" s="22" t="s">
        <v>54</v>
      </c>
      <c r="F256" s="23" t="n">
        <v>3</v>
      </c>
      <c r="G256" s="24" t="n">
        <v>-9.85542635224148</v>
      </c>
      <c r="H256" s="25" t="n">
        <v>5.11545247949382E-020</v>
      </c>
      <c r="I256" s="25"/>
      <c r="J256" s="20" t="str">
        <f aca="false">IF(G256&lt;0,"QUANTUM","Classical")</f>
        <v>QUANTUM</v>
      </c>
      <c r="K256" s="21" t="str">
        <f aca="false">IF(H256&lt;0.05,"yes","no")</f>
        <v>yes</v>
      </c>
      <c r="L256" s="21" t="s">
        <v>55</v>
      </c>
    </row>
    <row r="257" customFormat="false" ht="15" hidden="false" customHeight="false" outlineLevel="0" collapsed="false">
      <c r="A257" s="22" t="s">
        <v>50</v>
      </c>
      <c r="B257" s="23" t="n">
        <v>4</v>
      </c>
      <c r="C257" s="22" t="s">
        <v>46</v>
      </c>
      <c r="D257" s="23" t="s">
        <v>53</v>
      </c>
      <c r="E257" s="22" t="s">
        <v>54</v>
      </c>
      <c r="F257" s="23" t="n">
        <v>4</v>
      </c>
      <c r="G257" s="24" t="n">
        <v>-12.8623453715774</v>
      </c>
      <c r="H257" s="25" t="n">
        <v>2.04537917070892E-030</v>
      </c>
      <c r="I257" s="25"/>
      <c r="J257" s="20" t="str">
        <f aca="false">IF(G257&lt;0,"QUANTUM","Classical")</f>
        <v>QUANTUM</v>
      </c>
      <c r="K257" s="21" t="str">
        <f aca="false">IF(H257&lt;0.05,"yes","no")</f>
        <v>yes</v>
      </c>
      <c r="L257" s="21" t="s">
        <v>55</v>
      </c>
    </row>
    <row r="258" customFormat="false" ht="15" hidden="false" customHeight="false" outlineLevel="0" collapsed="false">
      <c r="A258" s="22" t="s">
        <v>50</v>
      </c>
      <c r="B258" s="23" t="n">
        <v>4</v>
      </c>
      <c r="C258" s="22" t="s">
        <v>46</v>
      </c>
      <c r="D258" s="23" t="s">
        <v>53</v>
      </c>
      <c r="E258" s="22" t="s">
        <v>54</v>
      </c>
      <c r="F258" s="23" t="n">
        <v>5</v>
      </c>
      <c r="G258" s="24" t="n">
        <v>-12.2096105078528</v>
      </c>
      <c r="H258" s="25" t="n">
        <v>4.4844970244583E-028</v>
      </c>
      <c r="I258" s="25"/>
      <c r="J258" s="20" t="str">
        <f aca="false">IF(G258&lt;0,"QUANTUM","Classical")</f>
        <v>QUANTUM</v>
      </c>
      <c r="K258" s="21" t="str">
        <f aca="false">IF(H258&lt;0.05,"yes","no")</f>
        <v>yes</v>
      </c>
      <c r="L258" s="21" t="s">
        <v>55</v>
      </c>
    </row>
    <row r="259" customFormat="false" ht="15" hidden="false" customHeight="false" outlineLevel="0" collapsed="false">
      <c r="A259" s="22" t="s">
        <v>50</v>
      </c>
      <c r="B259" s="23" t="n">
        <v>4</v>
      </c>
      <c r="C259" s="22" t="s">
        <v>46</v>
      </c>
      <c r="D259" s="23" t="s">
        <v>53</v>
      </c>
      <c r="E259" s="22" t="s">
        <v>54</v>
      </c>
      <c r="F259" s="23" t="n">
        <v>6</v>
      </c>
      <c r="G259" s="24" t="n">
        <v>-12.8515142607295</v>
      </c>
      <c r="H259" s="25" t="n">
        <v>2.23823011963809E-030</v>
      </c>
      <c r="I259" s="25"/>
      <c r="J259" s="20" t="str">
        <f aca="false">IF(G259&lt;0,"QUANTUM","Classical")</f>
        <v>QUANTUM</v>
      </c>
      <c r="K259" s="21" t="str">
        <f aca="false">IF(H259&lt;0.05,"yes","no")</f>
        <v>yes</v>
      </c>
      <c r="L259" s="21" t="s">
        <v>55</v>
      </c>
    </row>
    <row r="260" customFormat="false" ht="15" hidden="false" customHeight="false" outlineLevel="0" collapsed="false">
      <c r="A260" s="22" t="s">
        <v>50</v>
      </c>
      <c r="B260" s="23" t="n">
        <v>4</v>
      </c>
      <c r="C260" s="22" t="s">
        <v>46</v>
      </c>
      <c r="D260" s="23" t="s">
        <v>53</v>
      </c>
      <c r="E260" s="22" t="s">
        <v>54</v>
      </c>
      <c r="F260" s="23" t="n">
        <v>7</v>
      </c>
      <c r="G260" s="24" t="n">
        <v>-10.7189191094921</v>
      </c>
      <c r="H260" s="25" t="n">
        <v>6.86503844777381E-023</v>
      </c>
      <c r="I260" s="25"/>
      <c r="J260" s="20" t="str">
        <f aca="false">IF(G260&lt;0,"QUANTUM","Classical")</f>
        <v>QUANTUM</v>
      </c>
      <c r="K260" s="21" t="str">
        <f aca="false">IF(H260&lt;0.05,"yes","no")</f>
        <v>yes</v>
      </c>
      <c r="L260" s="21" t="s">
        <v>55</v>
      </c>
    </row>
    <row r="261" customFormat="false" ht="15" hidden="false" customHeight="false" outlineLevel="0" collapsed="false">
      <c r="A261" s="22" t="s">
        <v>50</v>
      </c>
      <c r="B261" s="23" t="n">
        <v>4</v>
      </c>
      <c r="C261" s="22" t="s">
        <v>46</v>
      </c>
      <c r="D261" s="23" t="s">
        <v>53</v>
      </c>
      <c r="E261" s="22" t="s">
        <v>54</v>
      </c>
      <c r="F261" s="23" t="n">
        <v>8</v>
      </c>
      <c r="G261" s="24" t="n">
        <v>-10.4466692279272</v>
      </c>
      <c r="H261" s="25" t="n">
        <v>5.67571341267731E-022</v>
      </c>
      <c r="I261" s="25"/>
      <c r="J261" s="20" t="str">
        <f aca="false">IF(G261&lt;0,"QUANTUM","Classical")</f>
        <v>QUANTUM</v>
      </c>
      <c r="K261" s="21" t="str">
        <f aca="false">IF(H261&lt;0.05,"yes","no")</f>
        <v>yes</v>
      </c>
      <c r="L261" s="21" t="s">
        <v>55</v>
      </c>
    </row>
    <row r="262" customFormat="false" ht="15" hidden="false" customHeight="false" outlineLevel="0" collapsed="false">
      <c r="A262" s="22" t="s">
        <v>50</v>
      </c>
      <c r="B262" s="23" t="n">
        <v>4</v>
      </c>
      <c r="C262" s="22" t="s">
        <v>46</v>
      </c>
      <c r="D262" s="23" t="s">
        <v>53</v>
      </c>
      <c r="E262" s="22" t="s">
        <v>54</v>
      </c>
      <c r="F262" s="23" t="n">
        <v>9</v>
      </c>
      <c r="G262" s="24" t="n">
        <v>-14.8519363749928</v>
      </c>
      <c r="H262" s="25" t="n">
        <v>9.97311604340272E-038</v>
      </c>
      <c r="I262" s="25"/>
      <c r="J262" s="20" t="str">
        <f aca="false">IF(G262&lt;0,"QUANTUM","Classical")</f>
        <v>QUANTUM</v>
      </c>
      <c r="K262" s="21" t="str">
        <f aca="false">IF(H262&lt;0.05,"yes","no")</f>
        <v>yes</v>
      </c>
      <c r="L262" s="21" t="s">
        <v>55</v>
      </c>
    </row>
    <row r="263" customFormat="false" ht="15" hidden="false" customHeight="false" outlineLevel="0" collapsed="false">
      <c r="A263" s="22" t="s">
        <v>50</v>
      </c>
      <c r="B263" s="23" t="n">
        <v>6</v>
      </c>
      <c r="C263" s="22" t="s">
        <v>46</v>
      </c>
      <c r="D263" s="23" t="s">
        <v>53</v>
      </c>
      <c r="E263" s="22" t="s">
        <v>54</v>
      </c>
      <c r="F263" s="23" t="n">
        <v>0</v>
      </c>
      <c r="G263" s="24" t="n">
        <v>-10.6624993546779</v>
      </c>
      <c r="H263" s="25" t="n">
        <v>1.06560820587204E-022</v>
      </c>
      <c r="I263" s="25"/>
      <c r="J263" s="20" t="str">
        <f aca="false">IF(G263&lt;0,"QUANTUM","Classical")</f>
        <v>QUANTUM</v>
      </c>
      <c r="K263" s="21" t="str">
        <f aca="false">IF(H263&lt;0.05,"yes","no")</f>
        <v>yes</v>
      </c>
      <c r="L263" s="21" t="s">
        <v>55</v>
      </c>
    </row>
    <row r="264" customFormat="false" ht="15" hidden="false" customHeight="false" outlineLevel="0" collapsed="false">
      <c r="A264" s="22" t="s">
        <v>50</v>
      </c>
      <c r="B264" s="23" t="n">
        <v>6</v>
      </c>
      <c r="C264" s="22" t="s">
        <v>46</v>
      </c>
      <c r="D264" s="23" t="s">
        <v>53</v>
      </c>
      <c r="E264" s="22" t="s">
        <v>54</v>
      </c>
      <c r="F264" s="23" t="n">
        <v>1</v>
      </c>
      <c r="G264" s="24" t="n">
        <v>-11.3414227011918</v>
      </c>
      <c r="H264" s="25" t="n">
        <v>5.03990166595978E-025</v>
      </c>
      <c r="I264" s="25"/>
      <c r="J264" s="20" t="str">
        <f aca="false">IF(G264&lt;0,"QUANTUM","Classical")</f>
        <v>QUANTUM</v>
      </c>
      <c r="K264" s="21" t="str">
        <f aca="false">IF(H264&lt;0.05,"yes","no")</f>
        <v>yes</v>
      </c>
      <c r="L264" s="21" t="s">
        <v>55</v>
      </c>
    </row>
    <row r="265" customFormat="false" ht="15" hidden="false" customHeight="false" outlineLevel="0" collapsed="false">
      <c r="A265" s="22" t="s">
        <v>50</v>
      </c>
      <c r="B265" s="23" t="n">
        <v>6</v>
      </c>
      <c r="C265" s="22" t="s">
        <v>46</v>
      </c>
      <c r="D265" s="23" t="s">
        <v>53</v>
      </c>
      <c r="E265" s="22" t="s">
        <v>54</v>
      </c>
      <c r="F265" s="23" t="n">
        <v>2</v>
      </c>
      <c r="G265" s="24" t="n">
        <v>-13.2095731338975</v>
      </c>
      <c r="H265" s="25" t="n">
        <v>1.1263524738654E-031</v>
      </c>
      <c r="I265" s="25"/>
      <c r="J265" s="20" t="str">
        <f aca="false">IF(G265&lt;0,"QUANTUM","Classical")</f>
        <v>QUANTUM</v>
      </c>
      <c r="K265" s="21" t="str">
        <f aca="false">IF(H265&lt;0.05,"yes","no")</f>
        <v>yes</v>
      </c>
      <c r="L265" s="21" t="s">
        <v>55</v>
      </c>
    </row>
    <row r="266" customFormat="false" ht="15" hidden="false" customHeight="false" outlineLevel="0" collapsed="false">
      <c r="A266" s="22" t="s">
        <v>50</v>
      </c>
      <c r="B266" s="23" t="n">
        <v>6</v>
      </c>
      <c r="C266" s="22" t="s">
        <v>46</v>
      </c>
      <c r="D266" s="23" t="s">
        <v>53</v>
      </c>
      <c r="E266" s="22" t="s">
        <v>54</v>
      </c>
      <c r="F266" s="23" t="n">
        <v>3</v>
      </c>
      <c r="G266" s="24" t="n">
        <v>-11.4818107897941</v>
      </c>
      <c r="H266" s="25" t="n">
        <v>1.63910513480823E-025</v>
      </c>
      <c r="I266" s="25"/>
      <c r="J266" s="20" t="str">
        <f aca="false">IF(G266&lt;0,"QUANTUM","Classical")</f>
        <v>QUANTUM</v>
      </c>
      <c r="K266" s="21" t="str">
        <f aca="false">IF(H266&lt;0.05,"yes","no")</f>
        <v>yes</v>
      </c>
      <c r="L266" s="21" t="s">
        <v>55</v>
      </c>
    </row>
    <row r="267" customFormat="false" ht="15" hidden="false" customHeight="false" outlineLevel="0" collapsed="false">
      <c r="A267" s="22" t="s">
        <v>50</v>
      </c>
      <c r="B267" s="23" t="n">
        <v>6</v>
      </c>
      <c r="C267" s="22" t="s">
        <v>46</v>
      </c>
      <c r="D267" s="23" t="s">
        <v>53</v>
      </c>
      <c r="E267" s="22" t="s">
        <v>54</v>
      </c>
      <c r="F267" s="23" t="n">
        <v>4</v>
      </c>
      <c r="G267" s="24" t="n">
        <v>-14.3792240526235</v>
      </c>
      <c r="H267" s="25" t="n">
        <v>5.68217574232012E-036</v>
      </c>
      <c r="I267" s="25"/>
      <c r="J267" s="20" t="str">
        <f aca="false">IF(G267&lt;0,"QUANTUM","Classical")</f>
        <v>QUANTUM</v>
      </c>
      <c r="K267" s="21" t="str">
        <f aca="false">IF(H267&lt;0.05,"yes","no")</f>
        <v>yes</v>
      </c>
      <c r="L267" s="21" t="s">
        <v>55</v>
      </c>
    </row>
    <row r="268" customFormat="false" ht="15" hidden="false" customHeight="false" outlineLevel="0" collapsed="false">
      <c r="A268" s="22" t="s">
        <v>50</v>
      </c>
      <c r="B268" s="23" t="n">
        <v>6</v>
      </c>
      <c r="C268" s="22" t="s">
        <v>46</v>
      </c>
      <c r="D268" s="23" t="s">
        <v>53</v>
      </c>
      <c r="E268" s="22" t="s">
        <v>54</v>
      </c>
      <c r="F268" s="23" t="n">
        <v>5</v>
      </c>
      <c r="G268" s="24" t="n">
        <v>-13.2274577369326</v>
      </c>
      <c r="H268" s="25" t="n">
        <v>9.69591214421569E-032</v>
      </c>
      <c r="I268" s="25"/>
      <c r="J268" s="20" t="str">
        <f aca="false">IF(G268&lt;0,"QUANTUM","Classical")</f>
        <v>QUANTUM</v>
      </c>
      <c r="K268" s="21" t="str">
        <f aca="false">IF(H268&lt;0.05,"yes","no")</f>
        <v>yes</v>
      </c>
      <c r="L268" s="21" t="s">
        <v>55</v>
      </c>
    </row>
    <row r="269" customFormat="false" ht="15" hidden="false" customHeight="false" outlineLevel="0" collapsed="false">
      <c r="A269" s="22" t="s">
        <v>50</v>
      </c>
      <c r="B269" s="23" t="n">
        <v>6</v>
      </c>
      <c r="C269" s="22" t="s">
        <v>46</v>
      </c>
      <c r="D269" s="23" t="s">
        <v>53</v>
      </c>
      <c r="E269" s="22" t="s">
        <v>54</v>
      </c>
      <c r="F269" s="23" t="n">
        <v>6</v>
      </c>
      <c r="G269" s="24" t="n">
        <v>-12.361273510477</v>
      </c>
      <c r="H269" s="25" t="n">
        <v>1.29146736672797E-028</v>
      </c>
      <c r="I269" s="25"/>
      <c r="J269" s="20" t="str">
        <f aca="false">IF(G269&lt;0,"QUANTUM","Classical")</f>
        <v>QUANTUM</v>
      </c>
      <c r="K269" s="21" t="str">
        <f aca="false">IF(H269&lt;0.05,"yes","no")</f>
        <v>yes</v>
      </c>
      <c r="L269" s="21" t="s">
        <v>55</v>
      </c>
    </row>
    <row r="270" customFormat="false" ht="15" hidden="false" customHeight="false" outlineLevel="0" collapsed="false">
      <c r="A270" s="22" t="s">
        <v>50</v>
      </c>
      <c r="B270" s="23" t="n">
        <v>6</v>
      </c>
      <c r="C270" s="22" t="s">
        <v>46</v>
      </c>
      <c r="D270" s="23" t="s">
        <v>53</v>
      </c>
      <c r="E270" s="22" t="s">
        <v>54</v>
      </c>
      <c r="F270" s="23" t="n">
        <v>7</v>
      </c>
      <c r="G270" s="24" t="n">
        <v>-13.8243115153472</v>
      </c>
      <c r="H270" s="25" t="n">
        <v>6.34947004272212E-034</v>
      </c>
      <c r="I270" s="25"/>
      <c r="J270" s="20" t="str">
        <f aca="false">IF(G270&lt;0,"QUANTUM","Classical")</f>
        <v>QUANTUM</v>
      </c>
      <c r="K270" s="21" t="str">
        <f aca="false">IF(H270&lt;0.05,"yes","no")</f>
        <v>yes</v>
      </c>
      <c r="L270" s="21" t="s">
        <v>55</v>
      </c>
    </row>
    <row r="271" customFormat="false" ht="15" hidden="false" customHeight="false" outlineLevel="0" collapsed="false">
      <c r="A271" s="22" t="s">
        <v>50</v>
      </c>
      <c r="B271" s="23" t="n">
        <v>6</v>
      </c>
      <c r="C271" s="22" t="s">
        <v>46</v>
      </c>
      <c r="D271" s="23" t="s">
        <v>53</v>
      </c>
      <c r="E271" s="22" t="s">
        <v>54</v>
      </c>
      <c r="F271" s="23" t="n">
        <v>8</v>
      </c>
      <c r="G271" s="24" t="n">
        <v>-11.650940864261</v>
      </c>
      <c r="H271" s="25" t="n">
        <v>4.20700400581621E-026</v>
      </c>
      <c r="I271" s="25"/>
      <c r="J271" s="20" t="str">
        <f aca="false">IF(G271&lt;0,"QUANTUM","Classical")</f>
        <v>QUANTUM</v>
      </c>
      <c r="K271" s="21" t="str">
        <f aca="false">IF(H271&lt;0.05,"yes","no")</f>
        <v>yes</v>
      </c>
      <c r="L271" s="21" t="s">
        <v>55</v>
      </c>
    </row>
    <row r="272" customFormat="false" ht="15" hidden="false" customHeight="false" outlineLevel="0" collapsed="false">
      <c r="A272" s="22" t="s">
        <v>50</v>
      </c>
      <c r="B272" s="23" t="n">
        <v>6</v>
      </c>
      <c r="C272" s="22" t="s">
        <v>46</v>
      </c>
      <c r="D272" s="23" t="s">
        <v>53</v>
      </c>
      <c r="E272" s="22" t="s">
        <v>54</v>
      </c>
      <c r="F272" s="23" t="n">
        <v>9</v>
      </c>
      <c r="G272" s="24" t="n">
        <v>-14.0299706993166</v>
      </c>
      <c r="H272" s="25" t="n">
        <v>1.11029056631397E-034</v>
      </c>
      <c r="I272" s="25"/>
      <c r="J272" s="20" t="str">
        <f aca="false">IF(G272&lt;0,"QUANTUM","Classical")</f>
        <v>QUANTUM</v>
      </c>
      <c r="K272" s="21" t="str">
        <f aca="false">IF(H272&lt;0.05,"yes","no")</f>
        <v>yes</v>
      </c>
      <c r="L272" s="21" t="s">
        <v>55</v>
      </c>
    </row>
    <row r="273" customFormat="false" ht="15" hidden="false" customHeight="false" outlineLevel="0" collapsed="false">
      <c r="A273" s="22" t="s">
        <v>50</v>
      </c>
      <c r="B273" s="23" t="n">
        <v>8</v>
      </c>
      <c r="C273" s="22" t="s">
        <v>46</v>
      </c>
      <c r="D273" s="23" t="s">
        <v>53</v>
      </c>
      <c r="E273" s="22" t="s">
        <v>54</v>
      </c>
      <c r="F273" s="23" t="n">
        <v>0</v>
      </c>
      <c r="G273" s="24" t="n">
        <v>-7.77074287666781</v>
      </c>
      <c r="H273" s="25" t="n">
        <v>2.33104395574021E-013</v>
      </c>
      <c r="I273" s="25"/>
      <c r="J273" s="20" t="str">
        <f aca="false">IF(G273&lt;0,"QUANTUM","Classical")</f>
        <v>QUANTUM</v>
      </c>
      <c r="K273" s="21" t="str">
        <f aca="false">IF(H273&lt;0.05,"yes","no")</f>
        <v>yes</v>
      </c>
      <c r="L273" s="21" t="s">
        <v>55</v>
      </c>
    </row>
    <row r="274" customFormat="false" ht="15" hidden="false" customHeight="false" outlineLevel="0" collapsed="false">
      <c r="A274" s="22" t="s">
        <v>50</v>
      </c>
      <c r="B274" s="23" t="n">
        <v>8</v>
      </c>
      <c r="C274" s="22" t="s">
        <v>46</v>
      </c>
      <c r="D274" s="23" t="s">
        <v>53</v>
      </c>
      <c r="E274" s="22" t="s">
        <v>54</v>
      </c>
      <c r="F274" s="23" t="n">
        <v>1</v>
      </c>
      <c r="G274" s="24" t="n">
        <v>-6.06885292810703</v>
      </c>
      <c r="H274" s="25" t="n">
        <v>5.04038194989129E-009</v>
      </c>
      <c r="I274" s="25"/>
      <c r="J274" s="20" t="str">
        <f aca="false">IF(G274&lt;0,"QUANTUM","Classical")</f>
        <v>QUANTUM</v>
      </c>
      <c r="K274" s="21" t="str">
        <f aca="false">IF(H274&lt;0.05,"yes","no")</f>
        <v>yes</v>
      </c>
      <c r="L274" s="21" t="s">
        <v>55</v>
      </c>
    </row>
    <row r="275" customFormat="false" ht="15" hidden="false" customHeight="false" outlineLevel="0" collapsed="false">
      <c r="A275" s="22" t="s">
        <v>50</v>
      </c>
      <c r="B275" s="23" t="n">
        <v>8</v>
      </c>
      <c r="C275" s="22" t="s">
        <v>46</v>
      </c>
      <c r="D275" s="23" t="s">
        <v>53</v>
      </c>
      <c r="E275" s="22" t="s">
        <v>54</v>
      </c>
      <c r="F275" s="23" t="n">
        <v>2</v>
      </c>
      <c r="G275" s="24" t="n">
        <v>-8.65425762857989</v>
      </c>
      <c r="H275" s="25" t="n">
        <v>7.55301590206744E-016</v>
      </c>
      <c r="I275" s="25"/>
      <c r="J275" s="20" t="str">
        <f aca="false">IF(G275&lt;0,"QUANTUM","Classical")</f>
        <v>QUANTUM</v>
      </c>
      <c r="K275" s="21" t="str">
        <f aca="false">IF(H275&lt;0.05,"yes","no")</f>
        <v>yes</v>
      </c>
      <c r="L275" s="21" t="s">
        <v>55</v>
      </c>
    </row>
    <row r="276" customFormat="false" ht="15" hidden="false" customHeight="false" outlineLevel="0" collapsed="false">
      <c r="A276" s="22" t="s">
        <v>50</v>
      </c>
      <c r="B276" s="23" t="n">
        <v>8</v>
      </c>
      <c r="C276" s="22" t="s">
        <v>46</v>
      </c>
      <c r="D276" s="23" t="s">
        <v>53</v>
      </c>
      <c r="E276" s="22" t="s">
        <v>54</v>
      </c>
      <c r="F276" s="23" t="n">
        <v>3</v>
      </c>
      <c r="G276" s="24" t="n">
        <v>-8.8374135876501</v>
      </c>
      <c r="H276" s="25" t="n">
        <v>2.21306485135138E-016</v>
      </c>
      <c r="I276" s="25"/>
      <c r="J276" s="20" t="str">
        <f aca="false">IF(G276&lt;0,"QUANTUM","Classical")</f>
        <v>QUANTUM</v>
      </c>
      <c r="K276" s="21" t="str">
        <f aca="false">IF(H276&lt;0.05,"yes","no")</f>
        <v>yes</v>
      </c>
      <c r="L276" s="21" t="s">
        <v>55</v>
      </c>
    </row>
    <row r="277" customFormat="false" ht="15" hidden="false" customHeight="false" outlineLevel="0" collapsed="false">
      <c r="A277" s="22" t="s">
        <v>50</v>
      </c>
      <c r="B277" s="23" t="n">
        <v>8</v>
      </c>
      <c r="C277" s="22" t="s">
        <v>46</v>
      </c>
      <c r="D277" s="23" t="s">
        <v>53</v>
      </c>
      <c r="E277" s="22" t="s">
        <v>54</v>
      </c>
      <c r="F277" s="23" t="n">
        <v>4</v>
      </c>
      <c r="G277" s="24" t="n">
        <v>-8.90327154951051</v>
      </c>
      <c r="H277" s="25" t="n">
        <v>1.41898120838993E-016</v>
      </c>
      <c r="I277" s="25"/>
      <c r="J277" s="20" t="str">
        <f aca="false">IF(G277&lt;0,"QUANTUM","Classical")</f>
        <v>QUANTUM</v>
      </c>
      <c r="K277" s="21" t="str">
        <f aca="false">IF(H277&lt;0.05,"yes","no")</f>
        <v>yes</v>
      </c>
      <c r="L277" s="21" t="s">
        <v>55</v>
      </c>
    </row>
    <row r="278" customFormat="false" ht="15" hidden="false" customHeight="false" outlineLevel="0" collapsed="false">
      <c r="A278" s="22" t="s">
        <v>50</v>
      </c>
      <c r="B278" s="23" t="n">
        <v>8</v>
      </c>
      <c r="C278" s="22" t="s">
        <v>46</v>
      </c>
      <c r="D278" s="23" t="s">
        <v>53</v>
      </c>
      <c r="E278" s="22" t="s">
        <v>54</v>
      </c>
      <c r="F278" s="23" t="n">
        <v>5</v>
      </c>
      <c r="G278" s="24" t="n">
        <v>-7.58545166432435</v>
      </c>
      <c r="H278" s="25" t="n">
        <v>7.4270305019318E-013</v>
      </c>
      <c r="I278" s="25"/>
      <c r="J278" s="20" t="str">
        <f aca="false">IF(G278&lt;0,"QUANTUM","Classical")</f>
        <v>QUANTUM</v>
      </c>
      <c r="K278" s="21" t="str">
        <f aca="false">IF(H278&lt;0.05,"yes","no")</f>
        <v>yes</v>
      </c>
      <c r="L278" s="21" t="s">
        <v>55</v>
      </c>
    </row>
    <row r="279" customFormat="false" ht="15" hidden="false" customHeight="false" outlineLevel="0" collapsed="false">
      <c r="A279" s="22" t="s">
        <v>50</v>
      </c>
      <c r="B279" s="23" t="n">
        <v>8</v>
      </c>
      <c r="C279" s="22" t="s">
        <v>46</v>
      </c>
      <c r="D279" s="23" t="s">
        <v>53</v>
      </c>
      <c r="E279" s="22" t="s">
        <v>54</v>
      </c>
      <c r="F279" s="23" t="n">
        <v>6</v>
      </c>
      <c r="G279" s="24" t="n">
        <v>-8.07202562208936</v>
      </c>
      <c r="H279" s="25" t="n">
        <v>3.42595160541396E-014</v>
      </c>
      <c r="I279" s="25"/>
      <c r="J279" s="20" t="str">
        <f aca="false">IF(G279&lt;0,"QUANTUM","Classical")</f>
        <v>QUANTUM</v>
      </c>
      <c r="K279" s="21" t="str">
        <f aca="false">IF(H279&lt;0.05,"yes","no")</f>
        <v>yes</v>
      </c>
      <c r="L279" s="21" t="s">
        <v>55</v>
      </c>
    </row>
    <row r="280" customFormat="false" ht="15" hidden="false" customHeight="false" outlineLevel="0" collapsed="false">
      <c r="A280" s="22" t="s">
        <v>50</v>
      </c>
      <c r="B280" s="23" t="n">
        <v>8</v>
      </c>
      <c r="C280" s="22" t="s">
        <v>46</v>
      </c>
      <c r="D280" s="23" t="s">
        <v>53</v>
      </c>
      <c r="E280" s="22" t="s">
        <v>54</v>
      </c>
      <c r="F280" s="23" t="n">
        <v>7</v>
      </c>
      <c r="G280" s="24" t="n">
        <v>-9.23090277862907</v>
      </c>
      <c r="H280" s="25" t="n">
        <v>1.51989768911987E-017</v>
      </c>
      <c r="I280" s="25"/>
      <c r="J280" s="20" t="str">
        <f aca="false">IF(G280&lt;0,"QUANTUM","Classical")</f>
        <v>QUANTUM</v>
      </c>
      <c r="K280" s="21" t="str">
        <f aca="false">IF(H280&lt;0.05,"yes","no")</f>
        <v>yes</v>
      </c>
      <c r="L280" s="21" t="s">
        <v>55</v>
      </c>
    </row>
    <row r="281" customFormat="false" ht="15" hidden="false" customHeight="false" outlineLevel="0" collapsed="false">
      <c r="A281" s="22" t="s">
        <v>50</v>
      </c>
      <c r="B281" s="23" t="n">
        <v>8</v>
      </c>
      <c r="C281" s="22" t="s">
        <v>46</v>
      </c>
      <c r="D281" s="23" t="s">
        <v>53</v>
      </c>
      <c r="E281" s="22" t="s">
        <v>54</v>
      </c>
      <c r="F281" s="23" t="n">
        <v>8</v>
      </c>
      <c r="G281" s="24" t="n">
        <v>-6.81035300064952</v>
      </c>
      <c r="H281" s="25" t="n">
        <v>7.88212345755763E-011</v>
      </c>
      <c r="I281" s="25"/>
      <c r="J281" s="20" t="str">
        <f aca="false">IF(G281&lt;0,"QUANTUM","Classical")</f>
        <v>QUANTUM</v>
      </c>
      <c r="K281" s="21" t="str">
        <f aca="false">IF(H281&lt;0.05,"yes","no")</f>
        <v>yes</v>
      </c>
      <c r="L281" s="21" t="s">
        <v>55</v>
      </c>
    </row>
    <row r="282" customFormat="false" ht="15" hidden="false" customHeight="false" outlineLevel="0" collapsed="false">
      <c r="A282" s="22" t="s">
        <v>50</v>
      </c>
      <c r="B282" s="23" t="n">
        <v>8</v>
      </c>
      <c r="C282" s="22" t="s">
        <v>46</v>
      </c>
      <c r="D282" s="23" t="s">
        <v>53</v>
      </c>
      <c r="E282" s="22" t="s">
        <v>54</v>
      </c>
      <c r="F282" s="23" t="n">
        <v>9</v>
      </c>
      <c r="G282" s="24" t="n">
        <v>-8.96359471169593</v>
      </c>
      <c r="H282" s="25" t="n">
        <v>9.43152844673259E-017</v>
      </c>
      <c r="I282" s="25"/>
      <c r="J282" s="20" t="str">
        <f aca="false">IF(G282&lt;0,"QUANTUM","Classical")</f>
        <v>QUANTUM</v>
      </c>
      <c r="K282" s="21" t="str">
        <f aca="false">IF(H282&lt;0.05,"yes","no")</f>
        <v>yes</v>
      </c>
      <c r="L282" s="21" t="s">
        <v>55</v>
      </c>
    </row>
    <row r="283" customFormat="false" ht="15" hidden="false" customHeight="false" outlineLevel="0" collapsed="false">
      <c r="A283" s="22" t="s">
        <v>50</v>
      </c>
      <c r="B283" s="23" t="n">
        <v>10</v>
      </c>
      <c r="C283" s="22" t="s">
        <v>46</v>
      </c>
      <c r="D283" s="23" t="s">
        <v>53</v>
      </c>
      <c r="E283" s="22" t="s">
        <v>54</v>
      </c>
      <c r="F283" s="23" t="n">
        <v>0</v>
      </c>
      <c r="G283" s="24" t="n">
        <v>-5.01297410192286</v>
      </c>
      <c r="H283" s="25" t="n">
        <v>1.90628194701821E-006</v>
      </c>
      <c r="I283" s="25"/>
      <c r="J283" s="20" t="str">
        <f aca="false">IF(G283&lt;0,"QUANTUM","Classical")</f>
        <v>QUANTUM</v>
      </c>
      <c r="K283" s="21" t="str">
        <f aca="false">IF(H283&lt;0.05,"yes","no")</f>
        <v>yes</v>
      </c>
      <c r="L283" s="21" t="s">
        <v>55</v>
      </c>
    </row>
    <row r="284" customFormat="false" ht="15" hidden="false" customHeight="false" outlineLevel="0" collapsed="false">
      <c r="A284" s="22" t="s">
        <v>50</v>
      </c>
      <c r="B284" s="23" t="n">
        <v>10</v>
      </c>
      <c r="C284" s="22" t="s">
        <v>46</v>
      </c>
      <c r="D284" s="23" t="s">
        <v>53</v>
      </c>
      <c r="E284" s="22" t="s">
        <v>54</v>
      </c>
      <c r="F284" s="23" t="n">
        <v>1</v>
      </c>
      <c r="G284" s="24" t="n">
        <v>-8.58626093684956</v>
      </c>
      <c r="H284" s="25" t="n">
        <v>4.26718173018536E-014</v>
      </c>
      <c r="I284" s="25"/>
      <c r="J284" s="20" t="str">
        <f aca="false">IF(G284&lt;0,"QUANTUM","Classical")</f>
        <v>QUANTUM</v>
      </c>
      <c r="K284" s="21" t="str">
        <f aca="false">IF(H284&lt;0.05,"yes","no")</f>
        <v>yes</v>
      </c>
      <c r="L284" s="21" t="s">
        <v>55</v>
      </c>
    </row>
    <row r="285" customFormat="false" ht="15" hidden="false" customHeight="false" outlineLevel="0" collapsed="false">
      <c r="A285" s="22" t="s">
        <v>50</v>
      </c>
      <c r="B285" s="23" t="n">
        <v>10</v>
      </c>
      <c r="C285" s="22" t="s">
        <v>46</v>
      </c>
      <c r="D285" s="23" t="s">
        <v>53</v>
      </c>
      <c r="E285" s="22" t="s">
        <v>54</v>
      </c>
      <c r="F285" s="23" t="n">
        <v>2</v>
      </c>
      <c r="G285" s="24" t="n">
        <v>-7.17635099361624</v>
      </c>
      <c r="H285" s="25" t="n">
        <v>6.85249079095449E-011</v>
      </c>
      <c r="I285" s="25"/>
      <c r="J285" s="20" t="str">
        <f aca="false">IF(G285&lt;0,"QUANTUM","Classical")</f>
        <v>QUANTUM</v>
      </c>
      <c r="K285" s="21" t="str">
        <f aca="false">IF(H285&lt;0.05,"yes","no")</f>
        <v>yes</v>
      </c>
      <c r="L285" s="21" t="s">
        <v>55</v>
      </c>
    </row>
    <row r="286" customFormat="false" ht="15" hidden="false" customHeight="false" outlineLevel="0" collapsed="false">
      <c r="A286" s="22" t="s">
        <v>50</v>
      </c>
      <c r="B286" s="23" t="n">
        <v>10</v>
      </c>
      <c r="C286" s="22" t="s">
        <v>46</v>
      </c>
      <c r="D286" s="23" t="s">
        <v>53</v>
      </c>
      <c r="E286" s="22" t="s">
        <v>54</v>
      </c>
      <c r="F286" s="23" t="n">
        <v>3</v>
      </c>
      <c r="G286" s="24" t="n">
        <v>-5.34026885080911</v>
      </c>
      <c r="H286" s="25" t="n">
        <v>4.57057730331692E-007</v>
      </c>
      <c r="I286" s="25"/>
      <c r="J286" s="20" t="str">
        <f aca="false">IF(G286&lt;0,"QUANTUM","Classical")</f>
        <v>QUANTUM</v>
      </c>
      <c r="K286" s="21" t="str">
        <f aca="false">IF(H286&lt;0.05,"yes","no")</f>
        <v>yes</v>
      </c>
      <c r="L286" s="21" t="s">
        <v>55</v>
      </c>
    </row>
    <row r="287" customFormat="false" ht="15" hidden="false" customHeight="false" outlineLevel="0" collapsed="false">
      <c r="A287" s="22" t="s">
        <v>50</v>
      </c>
      <c r="B287" s="23" t="n">
        <v>10</v>
      </c>
      <c r="C287" s="22" t="s">
        <v>46</v>
      </c>
      <c r="D287" s="23" t="s">
        <v>53</v>
      </c>
      <c r="E287" s="22" t="s">
        <v>54</v>
      </c>
      <c r="F287" s="23" t="n">
        <v>4</v>
      </c>
      <c r="G287" s="24" t="n">
        <v>-9.85856322174716</v>
      </c>
      <c r="H287" s="25" t="n">
        <v>4.34282189099259E-017</v>
      </c>
      <c r="I287" s="25"/>
      <c r="J287" s="20" t="str">
        <f aca="false">IF(G287&lt;0,"QUANTUM","Classical")</f>
        <v>QUANTUM</v>
      </c>
      <c r="K287" s="21" t="str">
        <f aca="false">IF(H287&lt;0.05,"yes","no")</f>
        <v>yes</v>
      </c>
      <c r="L287" s="21" t="s">
        <v>55</v>
      </c>
    </row>
    <row r="288" customFormat="false" ht="15" hidden="false" customHeight="false" outlineLevel="0" collapsed="false">
      <c r="A288" s="22" t="s">
        <v>51</v>
      </c>
      <c r="B288" s="23" t="n">
        <v>4</v>
      </c>
      <c r="C288" s="22" t="s">
        <v>46</v>
      </c>
      <c r="D288" s="23" t="s">
        <v>53</v>
      </c>
      <c r="E288" s="22" t="s">
        <v>54</v>
      </c>
      <c r="F288" s="23" t="n">
        <v>0</v>
      </c>
      <c r="G288" s="24" t="n">
        <v>-12.1048020182869</v>
      </c>
      <c r="H288" s="25" t="n">
        <v>1.05699753891148E-027</v>
      </c>
      <c r="I288" s="25"/>
      <c r="J288" s="20" t="str">
        <f aca="false">IF(G288&lt;0,"QUANTUM","Classical")</f>
        <v>QUANTUM</v>
      </c>
      <c r="K288" s="21" t="str">
        <f aca="false">IF(H288&lt;0.05,"yes","no")</f>
        <v>yes</v>
      </c>
      <c r="L288" s="21" t="s">
        <v>55</v>
      </c>
    </row>
    <row r="289" customFormat="false" ht="15" hidden="false" customHeight="false" outlineLevel="0" collapsed="false">
      <c r="A289" s="22" t="s">
        <v>51</v>
      </c>
      <c r="B289" s="23" t="n">
        <v>4</v>
      </c>
      <c r="C289" s="22" t="s">
        <v>46</v>
      </c>
      <c r="D289" s="23" t="s">
        <v>53</v>
      </c>
      <c r="E289" s="22" t="s">
        <v>54</v>
      </c>
      <c r="F289" s="23" t="n">
        <v>1</v>
      </c>
      <c r="G289" s="24" t="n">
        <v>-12.0056211141816</v>
      </c>
      <c r="H289" s="25" t="n">
        <v>2.37394033541066E-027</v>
      </c>
      <c r="I289" s="25"/>
      <c r="J289" s="20" t="str">
        <f aca="false">IF(G289&lt;0,"QUANTUM","Classical")</f>
        <v>QUANTUM</v>
      </c>
      <c r="K289" s="21" t="str">
        <f aca="false">IF(H289&lt;0.05,"yes","no")</f>
        <v>yes</v>
      </c>
      <c r="L289" s="21" t="s">
        <v>55</v>
      </c>
    </row>
    <row r="290" customFormat="false" ht="15" hidden="false" customHeight="false" outlineLevel="0" collapsed="false">
      <c r="A290" s="22" t="s">
        <v>51</v>
      </c>
      <c r="B290" s="23" t="n">
        <v>4</v>
      </c>
      <c r="C290" s="22" t="s">
        <v>46</v>
      </c>
      <c r="D290" s="23" t="s">
        <v>53</v>
      </c>
      <c r="E290" s="22" t="s">
        <v>54</v>
      </c>
      <c r="F290" s="23" t="n">
        <v>2</v>
      </c>
      <c r="G290" s="24" t="n">
        <v>-10.2465332276143</v>
      </c>
      <c r="H290" s="25" t="n">
        <v>2.64038562313516E-021</v>
      </c>
      <c r="I290" s="25"/>
      <c r="J290" s="20" t="str">
        <f aca="false">IF(G290&lt;0,"QUANTUM","Classical")</f>
        <v>QUANTUM</v>
      </c>
      <c r="K290" s="21" t="str">
        <f aca="false">IF(H290&lt;0.05,"yes","no")</f>
        <v>yes</v>
      </c>
      <c r="L290" s="21" t="s">
        <v>55</v>
      </c>
    </row>
    <row r="291" customFormat="false" ht="15" hidden="false" customHeight="false" outlineLevel="0" collapsed="false">
      <c r="A291" s="22" t="s">
        <v>51</v>
      </c>
      <c r="B291" s="23" t="n">
        <v>4</v>
      </c>
      <c r="C291" s="22" t="s">
        <v>46</v>
      </c>
      <c r="D291" s="23" t="s">
        <v>53</v>
      </c>
      <c r="E291" s="22" t="s">
        <v>54</v>
      </c>
      <c r="F291" s="23" t="n">
        <v>3</v>
      </c>
      <c r="G291" s="24" t="n">
        <v>-12.5755275016389</v>
      </c>
      <c r="H291" s="25" t="n">
        <v>2.20724894770769E-029</v>
      </c>
      <c r="I291" s="25"/>
      <c r="J291" s="20" t="str">
        <f aca="false">IF(G291&lt;0,"QUANTUM","Classical")</f>
        <v>QUANTUM</v>
      </c>
      <c r="K291" s="21" t="str">
        <f aca="false">IF(H291&lt;0.05,"yes","no")</f>
        <v>yes</v>
      </c>
      <c r="L291" s="21" t="s">
        <v>55</v>
      </c>
    </row>
    <row r="292" customFormat="false" ht="15" hidden="false" customHeight="false" outlineLevel="0" collapsed="false">
      <c r="A292" s="22" t="s">
        <v>51</v>
      </c>
      <c r="B292" s="23" t="n">
        <v>4</v>
      </c>
      <c r="C292" s="22" t="s">
        <v>46</v>
      </c>
      <c r="D292" s="23" t="s">
        <v>53</v>
      </c>
      <c r="E292" s="22" t="s">
        <v>54</v>
      </c>
      <c r="F292" s="23" t="n">
        <v>4</v>
      </c>
      <c r="G292" s="24" t="n">
        <v>-10.2758355148759</v>
      </c>
      <c r="H292" s="25" t="n">
        <v>2.11000682583717E-021</v>
      </c>
      <c r="I292" s="25"/>
      <c r="J292" s="20" t="str">
        <f aca="false">IF(G292&lt;0,"QUANTUM","Classical")</f>
        <v>QUANTUM</v>
      </c>
      <c r="K292" s="21" t="str">
        <f aca="false">IF(H292&lt;0.05,"yes","no")</f>
        <v>yes</v>
      </c>
      <c r="L292" s="21" t="s">
        <v>55</v>
      </c>
    </row>
    <row r="293" customFormat="false" ht="15" hidden="false" customHeight="false" outlineLevel="0" collapsed="false">
      <c r="A293" s="22" t="s">
        <v>51</v>
      </c>
      <c r="B293" s="23" t="n">
        <v>4</v>
      </c>
      <c r="C293" s="22" t="s">
        <v>46</v>
      </c>
      <c r="D293" s="23" t="s">
        <v>53</v>
      </c>
      <c r="E293" s="22" t="s">
        <v>54</v>
      </c>
      <c r="F293" s="23" t="n">
        <v>5</v>
      </c>
      <c r="G293" s="24" t="n">
        <v>-10.6939982183065</v>
      </c>
      <c r="H293" s="25" t="n">
        <v>8.33761544802967E-023</v>
      </c>
      <c r="I293" s="25"/>
      <c r="J293" s="20" t="str">
        <f aca="false">IF(G293&lt;0,"QUANTUM","Classical")</f>
        <v>QUANTUM</v>
      </c>
      <c r="K293" s="21" t="str">
        <f aca="false">IF(H293&lt;0.05,"yes","no")</f>
        <v>yes</v>
      </c>
      <c r="L293" s="21" t="s">
        <v>55</v>
      </c>
    </row>
    <row r="294" customFormat="false" ht="15" hidden="false" customHeight="false" outlineLevel="0" collapsed="false">
      <c r="A294" s="22" t="s">
        <v>51</v>
      </c>
      <c r="B294" s="23" t="n">
        <v>4</v>
      </c>
      <c r="C294" s="22" t="s">
        <v>46</v>
      </c>
      <c r="D294" s="23" t="s">
        <v>53</v>
      </c>
      <c r="E294" s="22" t="s">
        <v>54</v>
      </c>
      <c r="F294" s="23" t="n">
        <v>6</v>
      </c>
      <c r="G294" s="24" t="n">
        <v>-11.8755671608264</v>
      </c>
      <c r="H294" s="25" t="n">
        <v>6.83555625638478E-027</v>
      </c>
      <c r="I294" s="25"/>
      <c r="J294" s="20" t="str">
        <f aca="false">IF(G294&lt;0,"QUANTUM","Classical")</f>
        <v>QUANTUM</v>
      </c>
      <c r="K294" s="21" t="str">
        <f aca="false">IF(H294&lt;0.05,"yes","no")</f>
        <v>yes</v>
      </c>
      <c r="L294" s="21" t="s">
        <v>55</v>
      </c>
    </row>
    <row r="295" customFormat="false" ht="15" hidden="false" customHeight="false" outlineLevel="0" collapsed="false">
      <c r="A295" s="22" t="s">
        <v>51</v>
      </c>
      <c r="B295" s="23" t="n">
        <v>4</v>
      </c>
      <c r="C295" s="22" t="s">
        <v>46</v>
      </c>
      <c r="D295" s="23" t="s">
        <v>53</v>
      </c>
      <c r="E295" s="22" t="s">
        <v>54</v>
      </c>
      <c r="F295" s="23" t="n">
        <v>7</v>
      </c>
      <c r="G295" s="24" t="n">
        <v>-13.7301772589865</v>
      </c>
      <c r="H295" s="25" t="n">
        <v>1.40798442809892E-033</v>
      </c>
      <c r="I295" s="25"/>
      <c r="J295" s="20" t="str">
        <f aca="false">IF(G295&lt;0,"QUANTUM","Classical")</f>
        <v>QUANTUM</v>
      </c>
      <c r="K295" s="21" t="str">
        <f aca="false">IF(H295&lt;0.05,"yes","no")</f>
        <v>yes</v>
      </c>
      <c r="L295" s="21" t="s">
        <v>55</v>
      </c>
    </row>
    <row r="296" customFormat="false" ht="15" hidden="false" customHeight="false" outlineLevel="0" collapsed="false">
      <c r="A296" s="22" t="s">
        <v>51</v>
      </c>
      <c r="B296" s="23" t="n">
        <v>4</v>
      </c>
      <c r="C296" s="22" t="s">
        <v>46</v>
      </c>
      <c r="D296" s="23" t="s">
        <v>53</v>
      </c>
      <c r="E296" s="22" t="s">
        <v>54</v>
      </c>
      <c r="F296" s="23" t="n">
        <v>8</v>
      </c>
      <c r="G296" s="24" t="n">
        <v>-11.9505840696885</v>
      </c>
      <c r="H296" s="25" t="n">
        <v>3.71576247854051E-027</v>
      </c>
      <c r="I296" s="25"/>
      <c r="J296" s="20" t="str">
        <f aca="false">IF(G296&lt;0,"QUANTUM","Classical")</f>
        <v>QUANTUM</v>
      </c>
      <c r="K296" s="21" t="str">
        <f aca="false">IF(H296&lt;0.05,"yes","no")</f>
        <v>yes</v>
      </c>
      <c r="L296" s="21" t="s">
        <v>55</v>
      </c>
    </row>
    <row r="297" customFormat="false" ht="15" hidden="false" customHeight="false" outlineLevel="0" collapsed="false">
      <c r="A297" s="22" t="s">
        <v>51</v>
      </c>
      <c r="B297" s="23" t="n">
        <v>4</v>
      </c>
      <c r="C297" s="22" t="s">
        <v>46</v>
      </c>
      <c r="D297" s="23" t="s">
        <v>53</v>
      </c>
      <c r="E297" s="22" t="s">
        <v>54</v>
      </c>
      <c r="F297" s="23" t="n">
        <v>9</v>
      </c>
      <c r="G297" s="24" t="n">
        <v>-14.5128308390965</v>
      </c>
      <c r="H297" s="25" t="n">
        <v>1.8163632258474E-036</v>
      </c>
      <c r="I297" s="25"/>
      <c r="J297" s="20" t="str">
        <f aca="false">IF(G297&lt;0,"QUANTUM","Classical")</f>
        <v>QUANTUM</v>
      </c>
      <c r="K297" s="21" t="str">
        <f aca="false">IF(H297&lt;0.05,"yes","no")</f>
        <v>yes</v>
      </c>
      <c r="L297" s="21" t="s">
        <v>55</v>
      </c>
    </row>
    <row r="298" customFormat="false" ht="15" hidden="false" customHeight="false" outlineLevel="0" collapsed="false">
      <c r="A298" s="22" t="s">
        <v>51</v>
      </c>
      <c r="B298" s="23" t="n">
        <v>6</v>
      </c>
      <c r="C298" s="22" t="s">
        <v>46</v>
      </c>
      <c r="D298" s="23" t="s">
        <v>53</v>
      </c>
      <c r="E298" s="22" t="s">
        <v>54</v>
      </c>
      <c r="F298" s="23" t="n">
        <v>0</v>
      </c>
      <c r="G298" s="24" t="n">
        <v>-10.8653014793328</v>
      </c>
      <c r="H298" s="25" t="n">
        <v>2.18382183188801E-023</v>
      </c>
      <c r="I298" s="25"/>
      <c r="J298" s="20" t="str">
        <f aca="false">IF(G298&lt;0,"QUANTUM","Classical")</f>
        <v>QUANTUM</v>
      </c>
      <c r="K298" s="21" t="str">
        <f aca="false">IF(H298&lt;0.05,"yes","no")</f>
        <v>yes</v>
      </c>
      <c r="L298" s="21" t="s">
        <v>55</v>
      </c>
    </row>
    <row r="299" customFormat="false" ht="15" hidden="false" customHeight="false" outlineLevel="0" collapsed="false">
      <c r="A299" s="22" t="s">
        <v>51</v>
      </c>
      <c r="B299" s="23" t="n">
        <v>6</v>
      </c>
      <c r="C299" s="22" t="s">
        <v>46</v>
      </c>
      <c r="D299" s="23" t="s">
        <v>53</v>
      </c>
      <c r="E299" s="22" t="s">
        <v>54</v>
      </c>
      <c r="F299" s="23" t="n">
        <v>1</v>
      </c>
      <c r="G299" s="24" t="n">
        <v>-9.85572970038351</v>
      </c>
      <c r="H299" s="25" t="n">
        <v>5.10381602688987E-020</v>
      </c>
      <c r="I299" s="25"/>
      <c r="J299" s="20" t="str">
        <f aca="false">IF(G299&lt;0,"QUANTUM","Classical")</f>
        <v>QUANTUM</v>
      </c>
      <c r="K299" s="21" t="str">
        <f aca="false">IF(H299&lt;0.05,"yes","no")</f>
        <v>yes</v>
      </c>
      <c r="L299" s="21" t="s">
        <v>55</v>
      </c>
    </row>
    <row r="300" customFormat="false" ht="15" hidden="false" customHeight="false" outlineLevel="0" collapsed="false">
      <c r="A300" s="22" t="s">
        <v>51</v>
      </c>
      <c r="B300" s="23" t="n">
        <v>6</v>
      </c>
      <c r="C300" s="22" t="s">
        <v>46</v>
      </c>
      <c r="D300" s="23" t="s">
        <v>53</v>
      </c>
      <c r="E300" s="22" t="s">
        <v>54</v>
      </c>
      <c r="F300" s="23" t="n">
        <v>2</v>
      </c>
      <c r="G300" s="24" t="n">
        <v>-9.9659917181308</v>
      </c>
      <c r="H300" s="25" t="n">
        <v>2.22543820919459E-020</v>
      </c>
      <c r="I300" s="25"/>
      <c r="J300" s="20" t="str">
        <f aca="false">IF(G300&lt;0,"QUANTUM","Classical")</f>
        <v>QUANTUM</v>
      </c>
      <c r="K300" s="21" t="str">
        <f aca="false">IF(H300&lt;0.05,"yes","no")</f>
        <v>yes</v>
      </c>
      <c r="L300" s="21" t="s">
        <v>55</v>
      </c>
    </row>
    <row r="301" customFormat="false" ht="15" hidden="false" customHeight="false" outlineLevel="0" collapsed="false">
      <c r="A301" s="22" t="s">
        <v>51</v>
      </c>
      <c r="B301" s="23" t="n">
        <v>6</v>
      </c>
      <c r="C301" s="22" t="s">
        <v>46</v>
      </c>
      <c r="D301" s="23" t="s">
        <v>53</v>
      </c>
      <c r="E301" s="22" t="s">
        <v>54</v>
      </c>
      <c r="F301" s="23" t="n">
        <v>3</v>
      </c>
      <c r="G301" s="24" t="n">
        <v>-11.2341941256927</v>
      </c>
      <c r="H301" s="25" t="n">
        <v>1.18432087646051E-024</v>
      </c>
      <c r="I301" s="25"/>
      <c r="J301" s="20" t="str">
        <f aca="false">IF(G301&lt;0,"QUANTUM","Classical")</f>
        <v>QUANTUM</v>
      </c>
      <c r="K301" s="21" t="str">
        <f aca="false">IF(H301&lt;0.05,"yes","no")</f>
        <v>yes</v>
      </c>
      <c r="L301" s="21" t="s">
        <v>55</v>
      </c>
    </row>
    <row r="302" customFormat="false" ht="15" hidden="false" customHeight="false" outlineLevel="0" collapsed="false">
      <c r="A302" s="22" t="s">
        <v>51</v>
      </c>
      <c r="B302" s="23" t="n">
        <v>6</v>
      </c>
      <c r="C302" s="22" t="s">
        <v>46</v>
      </c>
      <c r="D302" s="23" t="s">
        <v>53</v>
      </c>
      <c r="E302" s="22" t="s">
        <v>54</v>
      </c>
      <c r="F302" s="23" t="n">
        <v>4</v>
      </c>
      <c r="G302" s="24" t="n">
        <v>-10.8054467283928</v>
      </c>
      <c r="H302" s="25" t="n">
        <v>3.49103844031828E-023</v>
      </c>
      <c r="I302" s="25"/>
      <c r="J302" s="20" t="str">
        <f aca="false">IF(G302&lt;0,"QUANTUM","Classical")</f>
        <v>QUANTUM</v>
      </c>
      <c r="K302" s="21" t="str">
        <f aca="false">IF(H302&lt;0.05,"yes","no")</f>
        <v>yes</v>
      </c>
      <c r="L302" s="21" t="s">
        <v>55</v>
      </c>
    </row>
    <row r="303" customFormat="false" ht="15" hidden="false" customHeight="false" outlineLevel="0" collapsed="false">
      <c r="A303" s="22" t="s">
        <v>51</v>
      </c>
      <c r="B303" s="23" t="n">
        <v>6</v>
      </c>
      <c r="C303" s="22" t="s">
        <v>46</v>
      </c>
      <c r="D303" s="23" t="s">
        <v>53</v>
      </c>
      <c r="E303" s="22" t="s">
        <v>54</v>
      </c>
      <c r="F303" s="23" t="n">
        <v>5</v>
      </c>
      <c r="G303" s="24" t="n">
        <v>-8.15643362274138</v>
      </c>
      <c r="H303" s="25" t="n">
        <v>9.72741194834902E-015</v>
      </c>
      <c r="I303" s="25"/>
      <c r="J303" s="20" t="str">
        <f aca="false">IF(G303&lt;0,"QUANTUM","Classical")</f>
        <v>QUANTUM</v>
      </c>
      <c r="K303" s="21" t="str">
        <f aca="false">IF(H303&lt;0.05,"yes","no")</f>
        <v>yes</v>
      </c>
      <c r="L303" s="21" t="s">
        <v>55</v>
      </c>
    </row>
    <row r="304" customFormat="false" ht="15" hidden="false" customHeight="false" outlineLevel="0" collapsed="false">
      <c r="A304" s="22" t="s">
        <v>51</v>
      </c>
      <c r="B304" s="23" t="n">
        <v>6</v>
      </c>
      <c r="C304" s="22" t="s">
        <v>46</v>
      </c>
      <c r="D304" s="23" t="s">
        <v>53</v>
      </c>
      <c r="E304" s="22" t="s">
        <v>54</v>
      </c>
      <c r="F304" s="23" t="n">
        <v>6</v>
      </c>
      <c r="G304" s="24" t="n">
        <v>-12.8217113628431</v>
      </c>
      <c r="H304" s="25" t="n">
        <v>2.86767855585668E-030</v>
      </c>
      <c r="I304" s="25"/>
      <c r="J304" s="20" t="str">
        <f aca="false">IF(G304&lt;0,"QUANTUM","Classical")</f>
        <v>QUANTUM</v>
      </c>
      <c r="K304" s="21" t="str">
        <f aca="false">IF(H304&lt;0.05,"yes","no")</f>
        <v>yes</v>
      </c>
      <c r="L304" s="21" t="s">
        <v>55</v>
      </c>
    </row>
    <row r="305" customFormat="false" ht="15" hidden="false" customHeight="false" outlineLevel="0" collapsed="false">
      <c r="A305" s="22" t="s">
        <v>51</v>
      </c>
      <c r="B305" s="23" t="n">
        <v>6</v>
      </c>
      <c r="C305" s="22" t="s">
        <v>46</v>
      </c>
      <c r="D305" s="23" t="s">
        <v>53</v>
      </c>
      <c r="E305" s="22" t="s">
        <v>54</v>
      </c>
      <c r="F305" s="23" t="n">
        <v>7</v>
      </c>
      <c r="G305" s="24" t="n">
        <v>-8.05791867222219</v>
      </c>
      <c r="H305" s="25" t="n">
        <v>1.889529294889E-014</v>
      </c>
      <c r="I305" s="25"/>
      <c r="J305" s="20" t="str">
        <f aca="false">IF(G305&lt;0,"QUANTUM","Classical")</f>
        <v>QUANTUM</v>
      </c>
      <c r="K305" s="21" t="str">
        <f aca="false">IF(H305&lt;0.05,"yes","no")</f>
        <v>yes</v>
      </c>
      <c r="L305" s="21" t="s">
        <v>55</v>
      </c>
    </row>
    <row r="306" customFormat="false" ht="15" hidden="false" customHeight="false" outlineLevel="0" collapsed="false">
      <c r="A306" s="22" t="s">
        <v>51</v>
      </c>
      <c r="B306" s="23" t="n">
        <v>6</v>
      </c>
      <c r="C306" s="22" t="s">
        <v>46</v>
      </c>
      <c r="D306" s="23" t="s">
        <v>53</v>
      </c>
      <c r="E306" s="22" t="s">
        <v>54</v>
      </c>
      <c r="F306" s="23" t="n">
        <v>8</v>
      </c>
      <c r="G306" s="24" t="n">
        <v>-10.7137292818867</v>
      </c>
      <c r="H306" s="25" t="n">
        <v>7.14868469982718E-023</v>
      </c>
      <c r="I306" s="25"/>
      <c r="J306" s="20" t="str">
        <f aca="false">IF(G306&lt;0,"QUANTUM","Classical")</f>
        <v>QUANTUM</v>
      </c>
      <c r="K306" s="21" t="str">
        <f aca="false">IF(H306&lt;0.05,"yes","no")</f>
        <v>yes</v>
      </c>
      <c r="L306" s="21" t="s">
        <v>55</v>
      </c>
    </row>
    <row r="307" customFormat="false" ht="15" hidden="false" customHeight="false" outlineLevel="0" collapsed="false">
      <c r="A307" s="22" t="s">
        <v>51</v>
      </c>
      <c r="B307" s="23" t="n">
        <v>6</v>
      </c>
      <c r="C307" s="22" t="s">
        <v>46</v>
      </c>
      <c r="D307" s="23" t="s">
        <v>53</v>
      </c>
      <c r="E307" s="22" t="s">
        <v>54</v>
      </c>
      <c r="F307" s="23" t="n">
        <v>9</v>
      </c>
      <c r="G307" s="24" t="n">
        <v>-7.91309995173931</v>
      </c>
      <c r="H307" s="25" t="n">
        <v>4.96958246955836E-014</v>
      </c>
      <c r="I307" s="25"/>
      <c r="J307" s="20" t="str">
        <f aca="false">IF(G307&lt;0,"QUANTUM","Classical")</f>
        <v>QUANTUM</v>
      </c>
      <c r="K307" s="21" t="str">
        <f aca="false">IF(H307&lt;0.05,"yes","no")</f>
        <v>yes</v>
      </c>
      <c r="L307" s="21" t="s">
        <v>55</v>
      </c>
    </row>
    <row r="308" customFormat="false" ht="15" hidden="false" customHeight="false" outlineLevel="0" collapsed="false">
      <c r="A308" s="22" t="s">
        <v>51</v>
      </c>
      <c r="B308" s="23" t="n">
        <v>8</v>
      </c>
      <c r="C308" s="22" t="s">
        <v>46</v>
      </c>
      <c r="D308" s="23" t="s">
        <v>53</v>
      </c>
      <c r="E308" s="22" t="s">
        <v>54</v>
      </c>
      <c r="F308" s="23" t="n">
        <v>0</v>
      </c>
      <c r="G308" s="24" t="n">
        <v>-8.3944526044521</v>
      </c>
      <c r="H308" s="25" t="n">
        <v>4.21448296966723E-015</v>
      </c>
      <c r="I308" s="25"/>
      <c r="J308" s="20" t="str">
        <f aca="false">IF(G308&lt;0,"QUANTUM","Classical")</f>
        <v>QUANTUM</v>
      </c>
      <c r="K308" s="21" t="str">
        <f aca="false">IF(H308&lt;0.05,"yes","no")</f>
        <v>yes</v>
      </c>
      <c r="L308" s="21" t="s">
        <v>55</v>
      </c>
    </row>
    <row r="309" customFormat="false" ht="15" hidden="false" customHeight="false" outlineLevel="0" collapsed="false">
      <c r="A309" s="22" t="s">
        <v>51</v>
      </c>
      <c r="B309" s="23" t="n">
        <v>8</v>
      </c>
      <c r="C309" s="22" t="s">
        <v>46</v>
      </c>
      <c r="D309" s="23" t="s">
        <v>53</v>
      </c>
      <c r="E309" s="22" t="s">
        <v>54</v>
      </c>
      <c r="F309" s="23" t="n">
        <v>1</v>
      </c>
      <c r="G309" s="24" t="n">
        <v>-9.82182474064318</v>
      </c>
      <c r="H309" s="25" t="n">
        <v>2.47315272236837E-019</v>
      </c>
      <c r="I309" s="25"/>
      <c r="J309" s="20" t="str">
        <f aca="false">IF(G309&lt;0,"QUANTUM","Classical")</f>
        <v>QUANTUM</v>
      </c>
      <c r="K309" s="21" t="str">
        <f aca="false">IF(H309&lt;0.05,"yes","no")</f>
        <v>yes</v>
      </c>
      <c r="L309" s="21" t="s">
        <v>55</v>
      </c>
    </row>
    <row r="310" customFormat="false" ht="15" hidden="false" customHeight="false" outlineLevel="0" collapsed="false">
      <c r="A310" s="22" t="s">
        <v>51</v>
      </c>
      <c r="B310" s="23" t="n">
        <v>8</v>
      </c>
      <c r="C310" s="22" t="s">
        <v>46</v>
      </c>
      <c r="D310" s="23" t="s">
        <v>53</v>
      </c>
      <c r="E310" s="22" t="s">
        <v>54</v>
      </c>
      <c r="F310" s="23" t="n">
        <v>2</v>
      </c>
      <c r="G310" s="24" t="n">
        <v>-12.875998201735</v>
      </c>
      <c r="H310" s="25" t="n">
        <v>3.83626696291052E-029</v>
      </c>
      <c r="I310" s="25"/>
      <c r="J310" s="20" t="str">
        <f aca="false">IF(G310&lt;0,"QUANTUM","Classical")</f>
        <v>QUANTUM</v>
      </c>
      <c r="K310" s="21" t="str">
        <f aca="false">IF(H310&lt;0.05,"yes","no")</f>
        <v>yes</v>
      </c>
      <c r="L310" s="21" t="s">
        <v>55</v>
      </c>
    </row>
    <row r="311" customFormat="false" ht="15" hidden="false" customHeight="false" outlineLevel="0" collapsed="false">
      <c r="A311" s="22" t="s">
        <v>51</v>
      </c>
      <c r="B311" s="23" t="n">
        <v>8</v>
      </c>
      <c r="C311" s="22" t="s">
        <v>46</v>
      </c>
      <c r="D311" s="23" t="s">
        <v>53</v>
      </c>
      <c r="E311" s="22" t="s">
        <v>54</v>
      </c>
      <c r="F311" s="23" t="n">
        <v>3</v>
      </c>
      <c r="G311" s="24" t="n">
        <v>-11.5190591928709</v>
      </c>
      <c r="H311" s="25" t="n">
        <v>1.08053144358817E-024</v>
      </c>
      <c r="I311" s="25"/>
      <c r="J311" s="20" t="str">
        <f aca="false">IF(G311&lt;0,"QUANTUM","Classical")</f>
        <v>QUANTUM</v>
      </c>
      <c r="K311" s="21" t="str">
        <f aca="false">IF(H311&lt;0.05,"yes","no")</f>
        <v>yes</v>
      </c>
      <c r="L311" s="21" t="s">
        <v>55</v>
      </c>
    </row>
    <row r="312" customFormat="false" ht="15" hidden="false" customHeight="false" outlineLevel="0" collapsed="false">
      <c r="A312" s="22" t="s">
        <v>51</v>
      </c>
      <c r="B312" s="23" t="n">
        <v>8</v>
      </c>
      <c r="C312" s="22" t="s">
        <v>46</v>
      </c>
      <c r="D312" s="23" t="s">
        <v>53</v>
      </c>
      <c r="E312" s="22" t="s">
        <v>54</v>
      </c>
      <c r="F312" s="23" t="n">
        <v>4</v>
      </c>
      <c r="G312" s="24" t="n">
        <v>-7.67632464075643</v>
      </c>
      <c r="H312" s="25" t="n">
        <v>4.21565737099352E-013</v>
      </c>
      <c r="I312" s="25"/>
      <c r="J312" s="20" t="str">
        <f aca="false">IF(G312&lt;0,"QUANTUM","Classical")</f>
        <v>QUANTUM</v>
      </c>
      <c r="K312" s="21" t="str">
        <f aca="false">IF(H312&lt;0.05,"yes","no")</f>
        <v>yes</v>
      </c>
      <c r="L312" s="21" t="s">
        <v>55</v>
      </c>
    </row>
    <row r="313" customFormat="false" ht="15" hidden="false" customHeight="false" outlineLevel="0" collapsed="false">
      <c r="A313" s="22" t="s">
        <v>51</v>
      </c>
      <c r="B313" s="23" t="n">
        <v>8</v>
      </c>
      <c r="C313" s="22" t="s">
        <v>46</v>
      </c>
      <c r="D313" s="23" t="s">
        <v>53</v>
      </c>
      <c r="E313" s="22" t="s">
        <v>54</v>
      </c>
      <c r="F313" s="23" t="n">
        <v>5</v>
      </c>
      <c r="G313" s="24" t="n">
        <v>-10.409941670324</v>
      </c>
      <c r="H313" s="25" t="n">
        <v>3.71071681922447E-021</v>
      </c>
      <c r="I313" s="25"/>
      <c r="J313" s="20" t="str">
        <f aca="false">IF(G313&lt;0,"QUANTUM","Classical")</f>
        <v>QUANTUM</v>
      </c>
      <c r="K313" s="21" t="str">
        <f aca="false">IF(H313&lt;0.05,"yes","no")</f>
        <v>yes</v>
      </c>
      <c r="L313" s="21" t="s">
        <v>55</v>
      </c>
    </row>
    <row r="314" customFormat="false" ht="15" hidden="false" customHeight="false" outlineLevel="0" collapsed="false">
      <c r="A314" s="22" t="s">
        <v>51</v>
      </c>
      <c r="B314" s="23" t="n">
        <v>8</v>
      </c>
      <c r="C314" s="22" t="s">
        <v>46</v>
      </c>
      <c r="D314" s="23" t="s">
        <v>53</v>
      </c>
      <c r="E314" s="22" t="s">
        <v>54</v>
      </c>
      <c r="F314" s="23" t="n">
        <v>6</v>
      </c>
      <c r="G314" s="24" t="n">
        <v>-8.20512978667449</v>
      </c>
      <c r="H314" s="25" t="n">
        <v>1.45007680394546E-014</v>
      </c>
      <c r="I314" s="25"/>
      <c r="J314" s="20" t="str">
        <f aca="false">IF(G314&lt;0,"QUANTUM","Classical")</f>
        <v>QUANTUM</v>
      </c>
      <c r="K314" s="21" t="str">
        <f aca="false">IF(H314&lt;0.05,"yes","no")</f>
        <v>yes</v>
      </c>
      <c r="L314" s="21" t="s">
        <v>55</v>
      </c>
    </row>
    <row r="315" customFormat="false" ht="15" hidden="false" customHeight="false" outlineLevel="0" collapsed="false">
      <c r="A315" s="22" t="s">
        <v>51</v>
      </c>
      <c r="B315" s="23" t="n">
        <v>8</v>
      </c>
      <c r="C315" s="22" t="s">
        <v>46</v>
      </c>
      <c r="D315" s="23" t="s">
        <v>53</v>
      </c>
      <c r="E315" s="22" t="s">
        <v>54</v>
      </c>
      <c r="F315" s="23" t="n">
        <v>7</v>
      </c>
      <c r="G315" s="24" t="n">
        <v>-11.3529464326432</v>
      </c>
      <c r="H315" s="25" t="n">
        <v>3.71576870095844E-024</v>
      </c>
      <c r="I315" s="25"/>
      <c r="J315" s="20" t="str">
        <f aca="false">IF(G315&lt;0,"QUANTUM","Classical")</f>
        <v>QUANTUM</v>
      </c>
      <c r="K315" s="21" t="str">
        <f aca="false">IF(H315&lt;0.05,"yes","no")</f>
        <v>yes</v>
      </c>
      <c r="L315" s="21" t="s">
        <v>55</v>
      </c>
    </row>
    <row r="316" customFormat="false" ht="15" hidden="false" customHeight="false" outlineLevel="0" collapsed="false">
      <c r="A316" s="22" t="s">
        <v>51</v>
      </c>
      <c r="B316" s="23" t="n">
        <v>8</v>
      </c>
      <c r="C316" s="22" t="s">
        <v>46</v>
      </c>
      <c r="D316" s="23" t="s">
        <v>53</v>
      </c>
      <c r="E316" s="22" t="s">
        <v>54</v>
      </c>
      <c r="F316" s="23" t="n">
        <v>8</v>
      </c>
      <c r="G316" s="24" t="n">
        <v>-10.3754789802147</v>
      </c>
      <c r="H316" s="25" t="n">
        <v>4.75790045907596E-021</v>
      </c>
      <c r="I316" s="25"/>
      <c r="J316" s="20" t="str">
        <f aca="false">IF(G316&lt;0,"QUANTUM","Classical")</f>
        <v>QUANTUM</v>
      </c>
      <c r="K316" s="21" t="str">
        <f aca="false">IF(H316&lt;0.05,"yes","no")</f>
        <v>yes</v>
      </c>
      <c r="L316" s="21" t="s">
        <v>55</v>
      </c>
    </row>
    <row r="317" customFormat="false" ht="15" hidden="false" customHeight="false" outlineLevel="0" collapsed="false">
      <c r="A317" s="22" t="s">
        <v>51</v>
      </c>
      <c r="B317" s="23" t="n">
        <v>8</v>
      </c>
      <c r="C317" s="22" t="s">
        <v>46</v>
      </c>
      <c r="D317" s="23" t="s">
        <v>53</v>
      </c>
      <c r="E317" s="22" t="s">
        <v>54</v>
      </c>
      <c r="F317" s="23" t="n">
        <v>9</v>
      </c>
      <c r="G317" s="24" t="n">
        <v>-9.22434172716312</v>
      </c>
      <c r="H317" s="25" t="n">
        <v>1.5900111079787E-017</v>
      </c>
      <c r="I317" s="25"/>
      <c r="J317" s="20" t="str">
        <f aca="false">IF(G317&lt;0,"QUANTUM","Classical")</f>
        <v>QUANTUM</v>
      </c>
      <c r="K317" s="21" t="str">
        <f aca="false">IF(H317&lt;0.05,"yes","no")</f>
        <v>yes</v>
      </c>
      <c r="L317" s="21" t="s">
        <v>55</v>
      </c>
    </row>
    <row r="318" customFormat="false" ht="15" hidden="false" customHeight="false" outlineLevel="0" collapsed="false">
      <c r="A318" s="22" t="s">
        <v>51</v>
      </c>
      <c r="B318" s="23" t="n">
        <v>10</v>
      </c>
      <c r="C318" s="22" t="s">
        <v>46</v>
      </c>
      <c r="D318" s="23" t="s">
        <v>53</v>
      </c>
      <c r="E318" s="22" t="s">
        <v>54</v>
      </c>
      <c r="F318" s="23" t="n">
        <v>0</v>
      </c>
      <c r="G318" s="24" t="n">
        <v>-7.95587007807047</v>
      </c>
      <c r="H318" s="25" t="n">
        <v>1.21123885070858E-012</v>
      </c>
      <c r="I318" s="25"/>
      <c r="J318" s="20" t="str">
        <f aca="false">IF(G318&lt;0,"QUANTUM","Classical")</f>
        <v>QUANTUM</v>
      </c>
      <c r="K318" s="21" t="str">
        <f aca="false">IF(H318&lt;0.05,"yes","no")</f>
        <v>yes</v>
      </c>
      <c r="L318" s="21" t="s">
        <v>55</v>
      </c>
    </row>
    <row r="319" customFormat="false" ht="15" hidden="false" customHeight="false" outlineLevel="0" collapsed="false">
      <c r="A319" s="22" t="s">
        <v>51</v>
      </c>
      <c r="B319" s="23" t="n">
        <v>10</v>
      </c>
      <c r="C319" s="22" t="s">
        <v>46</v>
      </c>
      <c r="D319" s="23" t="s">
        <v>53</v>
      </c>
      <c r="E319" s="22" t="s">
        <v>54</v>
      </c>
      <c r="F319" s="23" t="n">
        <v>1</v>
      </c>
      <c r="G319" s="24" t="n">
        <v>-8.83023320010136</v>
      </c>
      <c r="H319" s="25" t="n">
        <v>1.15171671515988E-014</v>
      </c>
      <c r="I319" s="25"/>
      <c r="J319" s="20" t="str">
        <f aca="false">IF(G319&lt;0,"QUANTUM","Classical")</f>
        <v>QUANTUM</v>
      </c>
      <c r="K319" s="21" t="str">
        <f aca="false">IF(H319&lt;0.05,"yes","no")</f>
        <v>yes</v>
      </c>
      <c r="L319" s="21" t="s">
        <v>55</v>
      </c>
    </row>
    <row r="320" customFormat="false" ht="15" hidden="false" customHeight="false" outlineLevel="0" collapsed="false">
      <c r="A320" s="22" t="s">
        <v>51</v>
      </c>
      <c r="B320" s="23" t="n">
        <v>10</v>
      </c>
      <c r="C320" s="22" t="s">
        <v>46</v>
      </c>
      <c r="D320" s="23" t="s">
        <v>53</v>
      </c>
      <c r="E320" s="22" t="s">
        <v>54</v>
      </c>
      <c r="F320" s="23" t="n">
        <v>2</v>
      </c>
      <c r="G320" s="24" t="n">
        <v>-6.7039223542099</v>
      </c>
      <c r="H320" s="25" t="n">
        <v>7.35743896715816E-010</v>
      </c>
      <c r="I320" s="25"/>
      <c r="J320" s="20" t="str">
        <f aca="false">IF(G320&lt;0,"QUANTUM","Classical")</f>
        <v>QUANTUM</v>
      </c>
      <c r="K320" s="21" t="str">
        <f aca="false">IF(H320&lt;0.05,"yes","no")</f>
        <v>yes</v>
      </c>
      <c r="L320" s="21" t="s">
        <v>55</v>
      </c>
    </row>
    <row r="321" customFormat="false" ht="15" hidden="false" customHeight="false" outlineLevel="0" collapsed="false">
      <c r="A321" s="22" t="s">
        <v>51</v>
      </c>
      <c r="B321" s="23" t="n">
        <v>10</v>
      </c>
      <c r="C321" s="22" t="s">
        <v>46</v>
      </c>
      <c r="D321" s="23" t="s">
        <v>53</v>
      </c>
      <c r="E321" s="22" t="s">
        <v>54</v>
      </c>
      <c r="F321" s="23" t="n">
        <v>3</v>
      </c>
      <c r="G321" s="24" t="n">
        <v>-6.1510765680537</v>
      </c>
      <c r="H321" s="25" t="n">
        <v>1.08517092029682E-008</v>
      </c>
      <c r="I321" s="25"/>
      <c r="J321" s="20" t="str">
        <f aca="false">IF(G321&lt;0,"QUANTUM","Classical")</f>
        <v>QUANTUM</v>
      </c>
      <c r="K321" s="21" t="str">
        <f aca="false">IF(H321&lt;0.05,"yes","no")</f>
        <v>yes</v>
      </c>
      <c r="L321" s="21" t="s">
        <v>55</v>
      </c>
    </row>
    <row r="322" customFormat="false" ht="15" hidden="false" customHeight="false" outlineLevel="0" collapsed="false">
      <c r="A322" s="22" t="s">
        <v>51</v>
      </c>
      <c r="B322" s="23" t="n">
        <v>10</v>
      </c>
      <c r="C322" s="22" t="s">
        <v>46</v>
      </c>
      <c r="D322" s="23" t="s">
        <v>53</v>
      </c>
      <c r="E322" s="22" t="s">
        <v>54</v>
      </c>
      <c r="F322" s="23" t="n">
        <v>4</v>
      </c>
      <c r="G322" s="24" t="n">
        <v>-7.26299942965486</v>
      </c>
      <c r="H322" s="25" t="n">
        <v>4.40526428314341E-011</v>
      </c>
      <c r="I322" s="25"/>
      <c r="J322" s="20" t="str">
        <f aca="false">IF(G322&lt;0,"QUANTUM","Classical")</f>
        <v>QUANTUM</v>
      </c>
      <c r="K322" s="21" t="str">
        <f aca="false">IF(H322&lt;0.05,"yes","no")</f>
        <v>yes</v>
      </c>
      <c r="L322" s="21" t="s">
        <v>55</v>
      </c>
    </row>
  </sheetData>
  <autoFilter ref="A1:L3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25"/>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0"/>
    <col collapsed="false" customWidth="true" hidden="false" outlineLevel="0" max="8" min="8" style="0" width="8"/>
    <col collapsed="false" customWidth="true" hidden="false" outlineLevel="0" max="9" min="9" style="0" width="13"/>
    <col collapsed="false" customWidth="true" hidden="false" outlineLevel="0" max="11" min="10" style="0" width="8"/>
    <col collapsed="false" customWidth="true" hidden="false" outlineLevel="0" max="12" min="12" style="0" width="13"/>
    <col collapsed="false" customWidth="true" hidden="false" outlineLevel="0" max="13" min="13" style="0" width="11"/>
    <col collapsed="false" customWidth="true" hidden="false" outlineLevel="0" max="14" min="14" style="0" width="20"/>
  </cols>
  <sheetData>
    <row r="1" customFormat="false" ht="30" hidden="false" customHeight="true" outlineLevel="0" collapsed="false">
      <c r="A1" s="10" t="s">
        <v>34</v>
      </c>
      <c r="B1" s="10" t="s">
        <v>56</v>
      </c>
      <c r="C1" s="10" t="s">
        <v>57</v>
      </c>
      <c r="D1" s="10" t="s">
        <v>58</v>
      </c>
      <c r="E1" s="10" t="s">
        <v>39</v>
      </c>
      <c r="F1" s="10" t="s">
        <v>23</v>
      </c>
      <c r="G1" s="10" t="s">
        <v>59</v>
      </c>
      <c r="H1" s="10" t="s">
        <v>60</v>
      </c>
      <c r="I1" s="10" t="s">
        <v>61</v>
      </c>
      <c r="J1" s="10" t="s">
        <v>62</v>
      </c>
      <c r="K1" s="10" t="s">
        <v>63</v>
      </c>
      <c r="L1" s="10" t="s">
        <v>64</v>
      </c>
      <c r="M1" s="10" t="s">
        <v>65</v>
      </c>
      <c r="N1" s="10" t="s">
        <v>66</v>
      </c>
    </row>
    <row r="2" customFormat="false" ht="15" hidden="false" customHeight="false" outlineLevel="0" collapsed="false">
      <c r="A2" s="16" t="s">
        <v>45</v>
      </c>
      <c r="B2" s="17" t="n">
        <v>4</v>
      </c>
      <c r="C2" s="17" t="s">
        <v>67</v>
      </c>
      <c r="D2" s="16" t="s">
        <v>68</v>
      </c>
      <c r="E2" s="17" t="n">
        <v>0</v>
      </c>
      <c r="F2" s="26" t="n">
        <v>0.00620861799489243</v>
      </c>
      <c r="G2" s="17" t="n">
        <v>64</v>
      </c>
      <c r="H2" s="17" t="n">
        <v>1500</v>
      </c>
      <c r="I2" s="17"/>
      <c r="J2" s="17" t="n">
        <v>5</v>
      </c>
      <c r="K2" s="17"/>
      <c r="L2" s="17"/>
      <c r="M2" s="17"/>
      <c r="N2" s="27" t="str">
        <f aca="false">IF(F2=_xlfn.MINIFS($F$2:$F$948,$A$2:$A$948,$A2,$B$2:$B$948,$B2),"BEST","")</f>
        <v/>
      </c>
    </row>
    <row r="3" customFormat="false" ht="15" hidden="false" customHeight="false" outlineLevel="0" collapsed="false">
      <c r="A3" s="16" t="s">
        <v>45</v>
      </c>
      <c r="B3" s="17" t="n">
        <v>4</v>
      </c>
      <c r="C3" s="17" t="s">
        <v>67</v>
      </c>
      <c r="D3" s="16" t="s">
        <v>68</v>
      </c>
      <c r="E3" s="17" t="n">
        <v>1</v>
      </c>
      <c r="F3" s="26" t="n">
        <v>0.00222970008372112</v>
      </c>
      <c r="G3" s="17" t="n">
        <v>64</v>
      </c>
      <c r="H3" s="17" t="n">
        <v>1500</v>
      </c>
      <c r="I3" s="17"/>
      <c r="J3" s="17" t="n">
        <v>5</v>
      </c>
      <c r="K3" s="17"/>
      <c r="L3" s="17"/>
      <c r="M3" s="17"/>
      <c r="N3" s="27" t="str">
        <f aca="false">IF(F3=_xlfn.MINIFS($F$2:$F$948,$A$2:$A$948,$A3,$B$2:$B$948,$B3),"BEST","")</f>
        <v/>
      </c>
    </row>
    <row r="4" customFormat="false" ht="15" hidden="false" customHeight="false" outlineLevel="0" collapsed="false">
      <c r="A4" s="16" t="s">
        <v>45</v>
      </c>
      <c r="B4" s="17" t="n">
        <v>4</v>
      </c>
      <c r="C4" s="17" t="s">
        <v>67</v>
      </c>
      <c r="D4" s="16" t="s">
        <v>68</v>
      </c>
      <c r="E4" s="17" t="n">
        <v>2</v>
      </c>
      <c r="F4" s="26" t="n">
        <v>0.00318900608395033</v>
      </c>
      <c r="G4" s="17" t="n">
        <v>64</v>
      </c>
      <c r="H4" s="17" t="n">
        <v>1500</v>
      </c>
      <c r="I4" s="17"/>
      <c r="J4" s="17" t="n">
        <v>5</v>
      </c>
      <c r="K4" s="17"/>
      <c r="L4" s="17"/>
      <c r="M4" s="17"/>
      <c r="N4" s="27" t="str">
        <f aca="false">IF(F4=_xlfn.MINIFS($F$2:$F$948,$A$2:$A$948,$A4,$B$2:$B$948,$B4),"BEST","")</f>
        <v/>
      </c>
    </row>
    <row r="5" customFormat="false" ht="15" hidden="false" customHeight="false" outlineLevel="0" collapsed="false">
      <c r="A5" s="16" t="s">
        <v>45</v>
      </c>
      <c r="B5" s="17" t="n">
        <v>4</v>
      </c>
      <c r="C5" s="17" t="s">
        <v>67</v>
      </c>
      <c r="D5" s="16" t="s">
        <v>68</v>
      </c>
      <c r="E5" s="17" t="n">
        <v>3</v>
      </c>
      <c r="F5" s="26" t="n">
        <v>0.00273230507939482</v>
      </c>
      <c r="G5" s="17" t="n">
        <v>64</v>
      </c>
      <c r="H5" s="17" t="n">
        <v>1500</v>
      </c>
      <c r="I5" s="17"/>
      <c r="J5" s="17" t="n">
        <v>5</v>
      </c>
      <c r="K5" s="17"/>
      <c r="L5" s="17"/>
      <c r="M5" s="17"/>
      <c r="N5" s="27" t="str">
        <f aca="false">IF(F5=_xlfn.MINIFS($F$2:$F$948,$A$2:$A$948,$A5,$B$2:$B$948,$B5),"BEST","")</f>
        <v/>
      </c>
    </row>
    <row r="6" customFormat="false" ht="15" hidden="false" customHeight="false" outlineLevel="0" collapsed="false">
      <c r="A6" s="16" t="s">
        <v>45</v>
      </c>
      <c r="B6" s="17" t="n">
        <v>4</v>
      </c>
      <c r="C6" s="17" t="s">
        <v>67</v>
      </c>
      <c r="D6" s="16" t="s">
        <v>68</v>
      </c>
      <c r="E6" s="17" t="n">
        <v>4</v>
      </c>
      <c r="F6" s="26" t="n">
        <v>0.00145679891356984</v>
      </c>
      <c r="G6" s="17" t="n">
        <v>64</v>
      </c>
      <c r="H6" s="17" t="n">
        <v>1500</v>
      </c>
      <c r="I6" s="17"/>
      <c r="J6" s="17" t="n">
        <v>5</v>
      </c>
      <c r="K6" s="17"/>
      <c r="L6" s="17"/>
      <c r="M6" s="17"/>
      <c r="N6" s="27" t="str">
        <f aca="false">IF(F6=_xlfn.MINIFS($F$2:$F$948,$A$2:$A$948,$A6,$B$2:$B$948,$B6),"BEST","")</f>
        <v/>
      </c>
    </row>
    <row r="7" customFormat="false" ht="15" hidden="false" customHeight="false" outlineLevel="0" collapsed="false">
      <c r="A7" s="16" t="s">
        <v>45</v>
      </c>
      <c r="B7" s="17" t="n">
        <v>4</v>
      </c>
      <c r="C7" s="17" t="s">
        <v>67</v>
      </c>
      <c r="D7" s="16" t="s">
        <v>68</v>
      </c>
      <c r="E7" s="17" t="n">
        <v>5</v>
      </c>
      <c r="F7" s="26" t="n">
        <v>0.00189904950881428</v>
      </c>
      <c r="G7" s="17" t="n">
        <v>64</v>
      </c>
      <c r="H7" s="17" t="n">
        <v>1500</v>
      </c>
      <c r="I7" s="17"/>
      <c r="J7" s="17" t="n">
        <v>5</v>
      </c>
      <c r="K7" s="17"/>
      <c r="L7" s="17"/>
      <c r="M7" s="17"/>
      <c r="N7" s="27" t="str">
        <f aca="false">IF(F7=_xlfn.MINIFS($F$2:$F$948,$A$2:$A$948,$A7,$B$2:$B$948,$B7),"BEST","")</f>
        <v/>
      </c>
    </row>
    <row r="8" customFormat="false" ht="15" hidden="false" customHeight="false" outlineLevel="0" collapsed="false">
      <c r="A8" s="16" t="s">
        <v>45</v>
      </c>
      <c r="B8" s="17" t="n">
        <v>4</v>
      </c>
      <c r="C8" s="17" t="s">
        <v>67</v>
      </c>
      <c r="D8" s="16" t="s">
        <v>68</v>
      </c>
      <c r="E8" s="17" t="n">
        <v>6</v>
      </c>
      <c r="F8" s="26" t="n">
        <v>0.00238170890284511</v>
      </c>
      <c r="G8" s="17" t="n">
        <v>64</v>
      </c>
      <c r="H8" s="17" t="n">
        <v>1500</v>
      </c>
      <c r="I8" s="17"/>
      <c r="J8" s="17" t="n">
        <v>5</v>
      </c>
      <c r="K8" s="17"/>
      <c r="L8" s="17"/>
      <c r="M8" s="17"/>
      <c r="N8" s="27" t="str">
        <f aca="false">IF(F8=_xlfn.MINIFS($F$2:$F$948,$A$2:$A$948,$A8,$B$2:$B$948,$B8),"BEST","")</f>
        <v/>
      </c>
    </row>
    <row r="9" customFormat="false" ht="15" hidden="false" customHeight="false" outlineLevel="0" collapsed="false">
      <c r="A9" s="16" t="s">
        <v>45</v>
      </c>
      <c r="B9" s="17" t="n">
        <v>4</v>
      </c>
      <c r="C9" s="17" t="s">
        <v>67</v>
      </c>
      <c r="D9" s="16" t="s">
        <v>68</v>
      </c>
      <c r="E9" s="17" t="n">
        <v>7</v>
      </c>
      <c r="F9" s="26" t="n">
        <v>0.00193829774112367</v>
      </c>
      <c r="G9" s="17" t="n">
        <v>64</v>
      </c>
      <c r="H9" s="17" t="n">
        <v>1500</v>
      </c>
      <c r="I9" s="17"/>
      <c r="J9" s="17" t="n">
        <v>5</v>
      </c>
      <c r="K9" s="17"/>
      <c r="L9" s="17"/>
      <c r="M9" s="17"/>
      <c r="N9" s="27" t="str">
        <f aca="false">IF(F9=_xlfn.MINIFS($F$2:$F$948,$A$2:$A$948,$A9,$B$2:$B$948,$B9),"BEST","")</f>
        <v/>
      </c>
    </row>
    <row r="10" customFormat="false" ht="15" hidden="false" customHeight="false" outlineLevel="0" collapsed="false">
      <c r="A10" s="16" t="s">
        <v>45</v>
      </c>
      <c r="B10" s="17" t="n">
        <v>4</v>
      </c>
      <c r="C10" s="17" t="s">
        <v>67</v>
      </c>
      <c r="D10" s="16" t="s">
        <v>68</v>
      </c>
      <c r="E10" s="17" t="n">
        <v>8</v>
      </c>
      <c r="F10" s="26" t="n">
        <v>0.00158160565870606</v>
      </c>
      <c r="G10" s="17" t="n">
        <v>64</v>
      </c>
      <c r="H10" s="17" t="n">
        <v>1500</v>
      </c>
      <c r="I10" s="17"/>
      <c r="J10" s="17" t="n">
        <v>5</v>
      </c>
      <c r="K10" s="17"/>
      <c r="L10" s="17"/>
      <c r="M10" s="17"/>
      <c r="N10" s="27" t="str">
        <f aca="false">IF(F10=_xlfn.MINIFS($F$2:$F$948,$A$2:$A$948,$A10,$B$2:$B$948,$B10),"BEST","")</f>
        <v/>
      </c>
    </row>
    <row r="11" customFormat="false" ht="15" hidden="false" customHeight="false" outlineLevel="0" collapsed="false">
      <c r="A11" s="16" t="s">
        <v>45</v>
      </c>
      <c r="B11" s="17" t="n">
        <v>4</v>
      </c>
      <c r="C11" s="17" t="s">
        <v>67</v>
      </c>
      <c r="D11" s="16" t="s">
        <v>68</v>
      </c>
      <c r="E11" s="17" t="n">
        <v>9</v>
      </c>
      <c r="F11" s="26" t="n">
        <v>0.00350502817484728</v>
      </c>
      <c r="G11" s="17" t="n">
        <v>64</v>
      </c>
      <c r="H11" s="17" t="n">
        <v>1500</v>
      </c>
      <c r="I11" s="17"/>
      <c r="J11" s="17" t="n">
        <v>5</v>
      </c>
      <c r="K11" s="17"/>
      <c r="L11" s="17"/>
      <c r="M11" s="17"/>
      <c r="N11" s="27" t="str">
        <f aca="false">IF(F11=_xlfn.MINIFS($F$2:$F$948,$A$2:$A$948,$A11,$B$2:$B$948,$B11),"BEST","")</f>
        <v/>
      </c>
    </row>
    <row r="12" customFormat="false" ht="15" hidden="false" customHeight="false" outlineLevel="0" collapsed="false">
      <c r="A12" s="16" t="s">
        <v>45</v>
      </c>
      <c r="B12" s="17" t="n">
        <v>4</v>
      </c>
      <c r="C12" s="17" t="s">
        <v>67</v>
      </c>
      <c r="D12" s="16" t="s">
        <v>68</v>
      </c>
      <c r="E12" s="17" t="n">
        <v>10</v>
      </c>
      <c r="F12" s="26" t="n">
        <v>0.00187934524094877</v>
      </c>
      <c r="G12" s="17" t="n">
        <v>64</v>
      </c>
      <c r="H12" s="17" t="n">
        <v>1500</v>
      </c>
      <c r="I12" s="17"/>
      <c r="J12" s="17" t="n">
        <v>5</v>
      </c>
      <c r="K12" s="17"/>
      <c r="L12" s="17"/>
      <c r="M12" s="17"/>
      <c r="N12" s="27" t="str">
        <f aca="false">IF(F12=_xlfn.MINIFS($F$2:$F$948,$A$2:$A$948,$A12,$B$2:$B$948,$B12),"BEST","")</f>
        <v/>
      </c>
    </row>
    <row r="13" customFormat="false" ht="15" hidden="false" customHeight="false" outlineLevel="0" collapsed="false">
      <c r="A13" s="16" t="s">
        <v>45</v>
      </c>
      <c r="B13" s="17" t="n">
        <v>4</v>
      </c>
      <c r="C13" s="17" t="s">
        <v>67</v>
      </c>
      <c r="D13" s="16" t="s">
        <v>68</v>
      </c>
      <c r="E13" s="17" t="n">
        <v>11</v>
      </c>
      <c r="F13" s="26" t="n">
        <v>0.00269899979410136</v>
      </c>
      <c r="G13" s="17" t="n">
        <v>64</v>
      </c>
      <c r="H13" s="17" t="n">
        <v>1500</v>
      </c>
      <c r="I13" s="17"/>
      <c r="J13" s="17" t="n">
        <v>5</v>
      </c>
      <c r="K13" s="17"/>
      <c r="L13" s="17"/>
      <c r="M13" s="17"/>
      <c r="N13" s="27" t="str">
        <f aca="false">IF(F13=_xlfn.MINIFS($F$2:$F$948,$A$2:$A$948,$A13,$B$2:$B$948,$B13),"BEST","")</f>
        <v/>
      </c>
    </row>
    <row r="14" customFormat="false" ht="15" hidden="false" customHeight="false" outlineLevel="0" collapsed="false">
      <c r="A14" s="16" t="s">
        <v>45</v>
      </c>
      <c r="B14" s="17" t="n">
        <v>4</v>
      </c>
      <c r="C14" s="17" t="s">
        <v>67</v>
      </c>
      <c r="D14" s="16" t="s">
        <v>68</v>
      </c>
      <c r="E14" s="17" t="n">
        <v>12</v>
      </c>
      <c r="F14" s="26" t="n">
        <v>0.003314053810104</v>
      </c>
      <c r="G14" s="17" t="n">
        <v>64</v>
      </c>
      <c r="H14" s="17" t="n">
        <v>1500</v>
      </c>
      <c r="I14" s="17"/>
      <c r="J14" s="17" t="n">
        <v>5</v>
      </c>
      <c r="K14" s="17"/>
      <c r="L14" s="17"/>
      <c r="M14" s="17"/>
      <c r="N14" s="27" t="str">
        <f aca="false">IF(F14=_xlfn.MINIFS($F$2:$F$948,$A$2:$A$948,$A14,$B$2:$B$948,$B14),"BEST","")</f>
        <v/>
      </c>
    </row>
    <row r="15" customFormat="false" ht="15" hidden="false" customHeight="false" outlineLevel="0" collapsed="false">
      <c r="A15" s="16" t="s">
        <v>45</v>
      </c>
      <c r="B15" s="17" t="n">
        <v>4</v>
      </c>
      <c r="C15" s="17" t="s">
        <v>67</v>
      </c>
      <c r="D15" s="16" t="s">
        <v>68</v>
      </c>
      <c r="E15" s="17" t="n">
        <v>13</v>
      </c>
      <c r="F15" s="26" t="n">
        <v>0.00185354332194871</v>
      </c>
      <c r="G15" s="17" t="n">
        <v>64</v>
      </c>
      <c r="H15" s="17" t="n">
        <v>1500</v>
      </c>
      <c r="I15" s="17"/>
      <c r="J15" s="17" t="n">
        <v>5</v>
      </c>
      <c r="K15" s="17"/>
      <c r="L15" s="17"/>
      <c r="M15" s="17"/>
      <c r="N15" s="27" t="str">
        <f aca="false">IF(F15=_xlfn.MINIFS($F$2:$F$948,$A$2:$A$948,$A15,$B$2:$B$948,$B15),"BEST","")</f>
        <v/>
      </c>
    </row>
    <row r="16" customFormat="false" ht="15" hidden="false" customHeight="false" outlineLevel="0" collapsed="false">
      <c r="A16" s="16" t="s">
        <v>45</v>
      </c>
      <c r="B16" s="17" t="n">
        <v>4</v>
      </c>
      <c r="C16" s="17" t="s">
        <v>67</v>
      </c>
      <c r="D16" s="16" t="s">
        <v>68</v>
      </c>
      <c r="E16" s="17" t="n">
        <v>14</v>
      </c>
      <c r="F16" s="26" t="n">
        <v>0.00183198413487105</v>
      </c>
      <c r="G16" s="17" t="n">
        <v>64</v>
      </c>
      <c r="H16" s="17" t="n">
        <v>1500</v>
      </c>
      <c r="I16" s="17"/>
      <c r="J16" s="17" t="n">
        <v>5</v>
      </c>
      <c r="K16" s="17"/>
      <c r="L16" s="17"/>
      <c r="M16" s="17"/>
      <c r="N16" s="27" t="str">
        <f aca="false">IF(F16=_xlfn.MINIFS($F$2:$F$948,$A$2:$A$948,$A16,$B$2:$B$948,$B16),"BEST","")</f>
        <v/>
      </c>
    </row>
    <row r="17" customFormat="false" ht="15" hidden="false" customHeight="false" outlineLevel="0" collapsed="false">
      <c r="A17" s="16" t="s">
        <v>45</v>
      </c>
      <c r="B17" s="17" t="n">
        <v>4</v>
      </c>
      <c r="C17" s="17" t="s">
        <v>67</v>
      </c>
      <c r="D17" s="16" t="s">
        <v>68</v>
      </c>
      <c r="E17" s="17" t="n">
        <v>15</v>
      </c>
      <c r="F17" s="26" t="n">
        <v>0.00290901050718825</v>
      </c>
      <c r="G17" s="17" t="n">
        <v>64</v>
      </c>
      <c r="H17" s="17" t="n">
        <v>1500</v>
      </c>
      <c r="I17" s="17"/>
      <c r="J17" s="17" t="n">
        <v>5</v>
      </c>
      <c r="K17" s="17"/>
      <c r="L17" s="17"/>
      <c r="M17" s="17"/>
      <c r="N17" s="27" t="str">
        <f aca="false">IF(F17=_xlfn.MINIFS($F$2:$F$948,$A$2:$A$948,$A17,$B$2:$B$948,$B17),"BEST","")</f>
        <v/>
      </c>
    </row>
    <row r="18" customFormat="false" ht="15" hidden="false" customHeight="false" outlineLevel="0" collapsed="false">
      <c r="A18" s="16" t="s">
        <v>45</v>
      </c>
      <c r="B18" s="17" t="n">
        <v>4</v>
      </c>
      <c r="C18" s="17" t="s">
        <v>67</v>
      </c>
      <c r="D18" s="16" t="s">
        <v>68</v>
      </c>
      <c r="E18" s="17" t="n">
        <v>16</v>
      </c>
      <c r="F18" s="26" t="n">
        <v>0.0039734984596204</v>
      </c>
      <c r="G18" s="17" t="n">
        <v>64</v>
      </c>
      <c r="H18" s="17" t="n">
        <v>1500</v>
      </c>
      <c r="I18" s="17"/>
      <c r="J18" s="17" t="n">
        <v>5</v>
      </c>
      <c r="K18" s="17"/>
      <c r="L18" s="17"/>
      <c r="M18" s="17"/>
      <c r="N18" s="27" t="str">
        <f aca="false">IF(F18=_xlfn.MINIFS($F$2:$F$948,$A$2:$A$948,$A18,$B$2:$B$948,$B18),"BEST","")</f>
        <v/>
      </c>
    </row>
    <row r="19" customFormat="false" ht="15" hidden="false" customHeight="false" outlineLevel="0" collapsed="false">
      <c r="A19" s="16" t="s">
        <v>45</v>
      </c>
      <c r="B19" s="17" t="n">
        <v>4</v>
      </c>
      <c r="C19" s="17" t="s">
        <v>67</v>
      </c>
      <c r="D19" s="16" t="s">
        <v>68</v>
      </c>
      <c r="E19" s="17" t="n">
        <v>17</v>
      </c>
      <c r="F19" s="26" t="n">
        <v>0.0028883386992641</v>
      </c>
      <c r="G19" s="17" t="n">
        <v>64</v>
      </c>
      <c r="H19" s="17" t="n">
        <v>1500</v>
      </c>
      <c r="I19" s="17"/>
      <c r="J19" s="17" t="n">
        <v>5</v>
      </c>
      <c r="K19" s="17"/>
      <c r="L19" s="17"/>
      <c r="M19" s="17"/>
      <c r="N19" s="27" t="str">
        <f aca="false">IF(F19=_xlfn.MINIFS($F$2:$F$948,$A$2:$A$948,$A19,$B$2:$B$948,$B19),"BEST","")</f>
        <v/>
      </c>
    </row>
    <row r="20" customFormat="false" ht="15" hidden="false" customHeight="false" outlineLevel="0" collapsed="false">
      <c r="A20" s="16" t="s">
        <v>45</v>
      </c>
      <c r="B20" s="17" t="n">
        <v>4</v>
      </c>
      <c r="C20" s="17" t="s">
        <v>67</v>
      </c>
      <c r="D20" s="16" t="s">
        <v>68</v>
      </c>
      <c r="E20" s="17" t="n">
        <v>18</v>
      </c>
      <c r="F20" s="26" t="n">
        <v>0.00203172937088549</v>
      </c>
      <c r="G20" s="17" t="n">
        <v>64</v>
      </c>
      <c r="H20" s="17" t="n">
        <v>1500</v>
      </c>
      <c r="I20" s="17"/>
      <c r="J20" s="17" t="n">
        <v>5</v>
      </c>
      <c r="K20" s="17"/>
      <c r="L20" s="17"/>
      <c r="M20" s="17"/>
      <c r="N20" s="27" t="str">
        <f aca="false">IF(F20=_xlfn.MINIFS($F$2:$F$948,$A$2:$A$948,$A20,$B$2:$B$948,$B20),"BEST","")</f>
        <v/>
      </c>
    </row>
    <row r="21" customFormat="false" ht="15" hidden="false" customHeight="false" outlineLevel="0" collapsed="false">
      <c r="A21" s="16" t="s">
        <v>45</v>
      </c>
      <c r="B21" s="17" t="n">
        <v>4</v>
      </c>
      <c r="C21" s="17" t="s">
        <v>67</v>
      </c>
      <c r="D21" s="16" t="s">
        <v>68</v>
      </c>
      <c r="E21" s="17" t="n">
        <v>19</v>
      </c>
      <c r="F21" s="26" t="n">
        <v>0.00212345237828606</v>
      </c>
      <c r="G21" s="17" t="n">
        <v>64</v>
      </c>
      <c r="H21" s="17" t="n">
        <v>1500</v>
      </c>
      <c r="I21" s="17"/>
      <c r="J21" s="17" t="n">
        <v>5</v>
      </c>
      <c r="K21" s="17"/>
      <c r="L21" s="17"/>
      <c r="M21" s="17"/>
      <c r="N21" s="27" t="str">
        <f aca="false">IF(F21=_xlfn.MINIFS($F$2:$F$948,$A$2:$A$948,$A21,$B$2:$B$948,$B21),"BEST","")</f>
        <v/>
      </c>
    </row>
    <row r="22" customFormat="false" ht="15" hidden="false" customHeight="false" outlineLevel="0" collapsed="false">
      <c r="A22" s="16" t="s">
        <v>45</v>
      </c>
      <c r="B22" s="17" t="n">
        <v>4</v>
      </c>
      <c r="C22" s="17" t="s">
        <v>69</v>
      </c>
      <c r="D22" s="16" t="s">
        <v>68</v>
      </c>
      <c r="E22" s="17" t="n">
        <v>0</v>
      </c>
      <c r="F22" s="26" t="n">
        <v>0.0244019029732385</v>
      </c>
      <c r="G22" s="17" t="n">
        <v>64</v>
      </c>
      <c r="H22" s="17" t="n">
        <v>1500</v>
      </c>
      <c r="I22" s="17"/>
      <c r="J22" s="17" t="n">
        <v>5</v>
      </c>
      <c r="K22" s="17"/>
      <c r="L22" s="17"/>
      <c r="M22" s="17"/>
      <c r="N22" s="27" t="str">
        <f aca="false">IF(F22=_xlfn.MINIFS($F$2:$F$948,$A$2:$A$948,$A22,$B$2:$B$948,$B22),"BEST","")</f>
        <v/>
      </c>
    </row>
    <row r="23" customFormat="false" ht="15" hidden="false" customHeight="false" outlineLevel="0" collapsed="false">
      <c r="A23" s="16" t="s">
        <v>45</v>
      </c>
      <c r="B23" s="17" t="n">
        <v>4</v>
      </c>
      <c r="C23" s="17" t="s">
        <v>69</v>
      </c>
      <c r="D23" s="16" t="s">
        <v>68</v>
      </c>
      <c r="E23" s="17" t="n">
        <v>1</v>
      </c>
      <c r="F23" s="26" t="n">
        <v>0.0332723010204698</v>
      </c>
      <c r="G23" s="17" t="n">
        <v>64</v>
      </c>
      <c r="H23" s="17" t="n">
        <v>1500</v>
      </c>
      <c r="I23" s="17"/>
      <c r="J23" s="17" t="n">
        <v>5</v>
      </c>
      <c r="K23" s="17"/>
      <c r="L23" s="17"/>
      <c r="M23" s="17"/>
      <c r="N23" s="27" t="str">
        <f aca="false">IF(F23=_xlfn.MINIFS($F$2:$F$948,$A$2:$A$948,$A23,$B$2:$B$948,$B23),"BEST","")</f>
        <v/>
      </c>
    </row>
    <row r="24" customFormat="false" ht="15" hidden="false" customHeight="false" outlineLevel="0" collapsed="false">
      <c r="A24" s="16" t="s">
        <v>45</v>
      </c>
      <c r="B24" s="17" t="n">
        <v>4</v>
      </c>
      <c r="C24" s="17" t="s">
        <v>69</v>
      </c>
      <c r="D24" s="16" t="s">
        <v>68</v>
      </c>
      <c r="E24" s="17" t="n">
        <v>2</v>
      </c>
      <c r="F24" s="26" t="n">
        <v>0.0226240266181934</v>
      </c>
      <c r="G24" s="17" t="n">
        <v>64</v>
      </c>
      <c r="H24" s="17" t="n">
        <v>1500</v>
      </c>
      <c r="I24" s="17"/>
      <c r="J24" s="17" t="n">
        <v>5</v>
      </c>
      <c r="K24" s="17"/>
      <c r="L24" s="17"/>
      <c r="M24" s="17"/>
      <c r="N24" s="27" t="str">
        <f aca="false">IF(F24=_xlfn.MINIFS($F$2:$F$948,$A$2:$A$948,$A24,$B$2:$B$948,$B24),"BEST","")</f>
        <v/>
      </c>
    </row>
    <row r="25" customFormat="false" ht="15" hidden="false" customHeight="false" outlineLevel="0" collapsed="false">
      <c r="A25" s="16" t="s">
        <v>45</v>
      </c>
      <c r="B25" s="17" t="n">
        <v>4</v>
      </c>
      <c r="C25" s="17" t="s">
        <v>69</v>
      </c>
      <c r="D25" s="16" t="s">
        <v>68</v>
      </c>
      <c r="E25" s="17" t="n">
        <v>3</v>
      </c>
      <c r="F25" s="26" t="n">
        <v>0.0287813744262704</v>
      </c>
      <c r="G25" s="17" t="n">
        <v>64</v>
      </c>
      <c r="H25" s="17" t="n">
        <v>1500</v>
      </c>
      <c r="I25" s="17"/>
      <c r="J25" s="17" t="n">
        <v>5</v>
      </c>
      <c r="K25" s="17"/>
      <c r="L25" s="17"/>
      <c r="M25" s="17"/>
      <c r="N25" s="27" t="str">
        <f aca="false">IF(F25=_xlfn.MINIFS($F$2:$F$948,$A$2:$A$948,$A25,$B$2:$B$948,$B25),"BEST","")</f>
        <v/>
      </c>
    </row>
    <row r="26" customFormat="false" ht="15" hidden="false" customHeight="false" outlineLevel="0" collapsed="false">
      <c r="A26" s="16" t="s">
        <v>45</v>
      </c>
      <c r="B26" s="17" t="n">
        <v>4</v>
      </c>
      <c r="C26" s="17" t="s">
        <v>69</v>
      </c>
      <c r="D26" s="16" t="s">
        <v>68</v>
      </c>
      <c r="E26" s="17" t="n">
        <v>4</v>
      </c>
      <c r="F26" s="26" t="n">
        <v>0.0259915661991923</v>
      </c>
      <c r="G26" s="17" t="n">
        <v>64</v>
      </c>
      <c r="H26" s="17" t="n">
        <v>1500</v>
      </c>
      <c r="I26" s="17"/>
      <c r="J26" s="17" t="n">
        <v>5</v>
      </c>
      <c r="K26" s="17"/>
      <c r="L26" s="17"/>
      <c r="M26" s="17"/>
      <c r="N26" s="27" t="str">
        <f aca="false">IF(F26=_xlfn.MINIFS($F$2:$F$948,$A$2:$A$948,$A26,$B$2:$B$948,$B26),"BEST","")</f>
        <v/>
      </c>
    </row>
    <row r="27" customFormat="false" ht="15" hidden="false" customHeight="false" outlineLevel="0" collapsed="false">
      <c r="A27" s="16" t="s">
        <v>45</v>
      </c>
      <c r="B27" s="17" t="n">
        <v>4</v>
      </c>
      <c r="C27" s="17" t="s">
        <v>69</v>
      </c>
      <c r="D27" s="16" t="s">
        <v>68</v>
      </c>
      <c r="E27" s="17" t="n">
        <v>5</v>
      </c>
      <c r="F27" s="26" t="n">
        <v>0.0194246175130498</v>
      </c>
      <c r="G27" s="17" t="n">
        <v>64</v>
      </c>
      <c r="H27" s="17" t="n">
        <v>1500</v>
      </c>
      <c r="I27" s="17"/>
      <c r="J27" s="17" t="n">
        <v>5</v>
      </c>
      <c r="K27" s="17"/>
      <c r="L27" s="17"/>
      <c r="M27" s="17"/>
      <c r="N27" s="27" t="str">
        <f aca="false">IF(F27=_xlfn.MINIFS($F$2:$F$948,$A$2:$A$948,$A27,$B$2:$B$948,$B27),"BEST","")</f>
        <v/>
      </c>
    </row>
    <row r="28" customFormat="false" ht="15" hidden="false" customHeight="false" outlineLevel="0" collapsed="false">
      <c r="A28" s="16" t="s">
        <v>45</v>
      </c>
      <c r="B28" s="17" t="n">
        <v>4</v>
      </c>
      <c r="C28" s="17" t="s">
        <v>69</v>
      </c>
      <c r="D28" s="16" t="s">
        <v>68</v>
      </c>
      <c r="E28" s="17" t="n">
        <v>6</v>
      </c>
      <c r="F28" s="26" t="n">
        <v>0.0233503924995168</v>
      </c>
      <c r="G28" s="17" t="n">
        <v>64</v>
      </c>
      <c r="H28" s="17" t="n">
        <v>1500</v>
      </c>
      <c r="I28" s="17"/>
      <c r="J28" s="17" t="n">
        <v>5</v>
      </c>
      <c r="K28" s="17"/>
      <c r="L28" s="17"/>
      <c r="M28" s="17"/>
      <c r="N28" s="27" t="str">
        <f aca="false">IF(F28=_xlfn.MINIFS($F$2:$F$948,$A$2:$A$948,$A28,$B$2:$B$948,$B28),"BEST","")</f>
        <v/>
      </c>
    </row>
    <row r="29" customFormat="false" ht="15" hidden="false" customHeight="false" outlineLevel="0" collapsed="false">
      <c r="A29" s="16" t="s">
        <v>45</v>
      </c>
      <c r="B29" s="17" t="n">
        <v>4</v>
      </c>
      <c r="C29" s="17" t="s">
        <v>69</v>
      </c>
      <c r="D29" s="16" t="s">
        <v>68</v>
      </c>
      <c r="E29" s="17" t="n">
        <v>7</v>
      </c>
      <c r="F29" s="26" t="n">
        <v>0.02677437780361</v>
      </c>
      <c r="G29" s="17" t="n">
        <v>64</v>
      </c>
      <c r="H29" s="17" t="n">
        <v>1500</v>
      </c>
      <c r="I29" s="17"/>
      <c r="J29" s="17" t="n">
        <v>5</v>
      </c>
      <c r="K29" s="17"/>
      <c r="L29" s="17"/>
      <c r="M29" s="17"/>
      <c r="N29" s="27" t="str">
        <f aca="false">IF(F29=_xlfn.MINIFS($F$2:$F$948,$A$2:$A$948,$A29,$B$2:$B$948,$B29),"BEST","")</f>
        <v/>
      </c>
    </row>
    <row r="30" customFormat="false" ht="15" hidden="false" customHeight="false" outlineLevel="0" collapsed="false">
      <c r="A30" s="16" t="s">
        <v>45</v>
      </c>
      <c r="B30" s="17" t="n">
        <v>4</v>
      </c>
      <c r="C30" s="17" t="s">
        <v>69</v>
      </c>
      <c r="D30" s="16" t="s">
        <v>68</v>
      </c>
      <c r="E30" s="17" t="n">
        <v>8</v>
      </c>
      <c r="F30" s="26" t="n">
        <v>0.0242025380033915</v>
      </c>
      <c r="G30" s="17" t="n">
        <v>64</v>
      </c>
      <c r="H30" s="17" t="n">
        <v>1500</v>
      </c>
      <c r="I30" s="17"/>
      <c r="J30" s="17" t="n">
        <v>5</v>
      </c>
      <c r="K30" s="17"/>
      <c r="L30" s="17"/>
      <c r="M30" s="17"/>
      <c r="N30" s="27" t="str">
        <f aca="false">IF(F30=_xlfn.MINIFS($F$2:$F$948,$A$2:$A$948,$A30,$B$2:$B$948,$B30),"BEST","")</f>
        <v/>
      </c>
    </row>
    <row r="31" customFormat="false" ht="15" hidden="false" customHeight="false" outlineLevel="0" collapsed="false">
      <c r="A31" s="16" t="s">
        <v>45</v>
      </c>
      <c r="B31" s="17" t="n">
        <v>4</v>
      </c>
      <c r="C31" s="17" t="s">
        <v>69</v>
      </c>
      <c r="D31" s="16" t="s">
        <v>68</v>
      </c>
      <c r="E31" s="17" t="n">
        <v>9</v>
      </c>
      <c r="F31" s="26" t="n">
        <v>0.0288773907815721</v>
      </c>
      <c r="G31" s="17" t="n">
        <v>64</v>
      </c>
      <c r="H31" s="17" t="n">
        <v>1500</v>
      </c>
      <c r="I31" s="17"/>
      <c r="J31" s="17" t="n">
        <v>5</v>
      </c>
      <c r="K31" s="17"/>
      <c r="L31" s="17"/>
      <c r="M31" s="17"/>
      <c r="N31" s="27" t="str">
        <f aca="false">IF(F31=_xlfn.MINIFS($F$2:$F$948,$A$2:$A$948,$A31,$B$2:$B$948,$B31),"BEST","")</f>
        <v/>
      </c>
    </row>
    <row r="32" customFormat="false" ht="15" hidden="false" customHeight="false" outlineLevel="0" collapsed="false">
      <c r="A32" s="16" t="s">
        <v>45</v>
      </c>
      <c r="B32" s="17" t="n">
        <v>4</v>
      </c>
      <c r="C32" s="17" t="s">
        <v>69</v>
      </c>
      <c r="D32" s="16" t="s">
        <v>68</v>
      </c>
      <c r="E32" s="17" t="n">
        <v>10</v>
      </c>
      <c r="F32" s="26" t="n">
        <v>0.0171513549321334</v>
      </c>
      <c r="G32" s="17" t="n">
        <v>64</v>
      </c>
      <c r="H32" s="17" t="n">
        <v>1500</v>
      </c>
      <c r="I32" s="17"/>
      <c r="J32" s="17" t="n">
        <v>5</v>
      </c>
      <c r="K32" s="17"/>
      <c r="L32" s="17"/>
      <c r="M32" s="17"/>
      <c r="N32" s="27" t="str">
        <f aca="false">IF(F32=_xlfn.MINIFS($F$2:$F$948,$A$2:$A$948,$A32,$B$2:$B$948,$B32),"BEST","")</f>
        <v/>
      </c>
    </row>
    <row r="33" customFormat="false" ht="15" hidden="false" customHeight="false" outlineLevel="0" collapsed="false">
      <c r="A33" s="16" t="s">
        <v>45</v>
      </c>
      <c r="B33" s="17" t="n">
        <v>4</v>
      </c>
      <c r="C33" s="17" t="s">
        <v>69</v>
      </c>
      <c r="D33" s="16" t="s">
        <v>68</v>
      </c>
      <c r="E33" s="17" t="n">
        <v>11</v>
      </c>
      <c r="F33" s="26" t="n">
        <v>0.0316440124694428</v>
      </c>
      <c r="G33" s="17" t="n">
        <v>64</v>
      </c>
      <c r="H33" s="17" t="n">
        <v>1500</v>
      </c>
      <c r="I33" s="17"/>
      <c r="J33" s="17" t="n">
        <v>5</v>
      </c>
      <c r="K33" s="17"/>
      <c r="L33" s="17"/>
      <c r="M33" s="17"/>
      <c r="N33" s="27" t="str">
        <f aca="false">IF(F33=_xlfn.MINIFS($F$2:$F$948,$A$2:$A$948,$A33,$B$2:$B$948,$B33),"BEST","")</f>
        <v/>
      </c>
    </row>
    <row r="34" customFormat="false" ht="15" hidden="false" customHeight="false" outlineLevel="0" collapsed="false">
      <c r="A34" s="16" t="s">
        <v>45</v>
      </c>
      <c r="B34" s="17" t="n">
        <v>4</v>
      </c>
      <c r="C34" s="17" t="s">
        <v>69</v>
      </c>
      <c r="D34" s="16" t="s">
        <v>68</v>
      </c>
      <c r="E34" s="17" t="n">
        <v>12</v>
      </c>
      <c r="F34" s="26" t="n">
        <v>0.023601283894244</v>
      </c>
      <c r="G34" s="17" t="n">
        <v>64</v>
      </c>
      <c r="H34" s="17" t="n">
        <v>1500</v>
      </c>
      <c r="I34" s="17"/>
      <c r="J34" s="17" t="n">
        <v>5</v>
      </c>
      <c r="K34" s="17"/>
      <c r="L34" s="17"/>
      <c r="M34" s="17"/>
      <c r="N34" s="27" t="str">
        <f aca="false">IF(F34=_xlfn.MINIFS($F$2:$F$948,$A$2:$A$948,$A34,$B$2:$B$948,$B34),"BEST","")</f>
        <v/>
      </c>
    </row>
    <row r="35" customFormat="false" ht="15" hidden="false" customHeight="false" outlineLevel="0" collapsed="false">
      <c r="A35" s="16" t="s">
        <v>45</v>
      </c>
      <c r="B35" s="17" t="n">
        <v>4</v>
      </c>
      <c r="C35" s="17" t="s">
        <v>69</v>
      </c>
      <c r="D35" s="16" t="s">
        <v>68</v>
      </c>
      <c r="E35" s="17" t="n">
        <v>13</v>
      </c>
      <c r="F35" s="26" t="n">
        <v>0.0185604233516789</v>
      </c>
      <c r="G35" s="17" t="n">
        <v>64</v>
      </c>
      <c r="H35" s="17" t="n">
        <v>1500</v>
      </c>
      <c r="I35" s="17"/>
      <c r="J35" s="17" t="n">
        <v>5</v>
      </c>
      <c r="K35" s="17"/>
      <c r="L35" s="17"/>
      <c r="M35" s="17"/>
      <c r="N35" s="27" t="str">
        <f aca="false">IF(F35=_xlfn.MINIFS($F$2:$F$948,$A$2:$A$948,$A35,$B$2:$B$948,$B35),"BEST","")</f>
        <v/>
      </c>
    </row>
    <row r="36" customFormat="false" ht="15" hidden="false" customHeight="false" outlineLevel="0" collapsed="false">
      <c r="A36" s="16" t="s">
        <v>45</v>
      </c>
      <c r="B36" s="17" t="n">
        <v>4</v>
      </c>
      <c r="C36" s="17" t="s">
        <v>69</v>
      </c>
      <c r="D36" s="16" t="s">
        <v>68</v>
      </c>
      <c r="E36" s="17" t="n">
        <v>14</v>
      </c>
      <c r="F36" s="26" t="n">
        <v>0.0173869183221373</v>
      </c>
      <c r="G36" s="17" t="n">
        <v>64</v>
      </c>
      <c r="H36" s="17" t="n">
        <v>1500</v>
      </c>
      <c r="I36" s="17"/>
      <c r="J36" s="17" t="n">
        <v>5</v>
      </c>
      <c r="K36" s="17"/>
      <c r="L36" s="17"/>
      <c r="M36" s="17"/>
      <c r="N36" s="27" t="str">
        <f aca="false">IF(F36=_xlfn.MINIFS($F$2:$F$948,$A$2:$A$948,$A36,$B$2:$B$948,$B36),"BEST","")</f>
        <v/>
      </c>
    </row>
    <row r="37" customFormat="false" ht="15" hidden="false" customHeight="false" outlineLevel="0" collapsed="false">
      <c r="A37" s="16" t="s">
        <v>45</v>
      </c>
      <c r="B37" s="17" t="n">
        <v>4</v>
      </c>
      <c r="C37" s="17" t="s">
        <v>69</v>
      </c>
      <c r="D37" s="16" t="s">
        <v>68</v>
      </c>
      <c r="E37" s="17" t="n">
        <v>15</v>
      </c>
      <c r="F37" s="26" t="n">
        <v>0.0280534608309085</v>
      </c>
      <c r="G37" s="17" t="n">
        <v>64</v>
      </c>
      <c r="H37" s="17" t="n">
        <v>1500</v>
      </c>
      <c r="I37" s="17"/>
      <c r="J37" s="17" t="n">
        <v>5</v>
      </c>
      <c r="K37" s="17"/>
      <c r="L37" s="17"/>
      <c r="M37" s="17"/>
      <c r="N37" s="27" t="str">
        <f aca="false">IF(F37=_xlfn.MINIFS($F$2:$F$948,$A$2:$A$948,$A37,$B$2:$B$948,$B37),"BEST","")</f>
        <v/>
      </c>
    </row>
    <row r="38" customFormat="false" ht="15" hidden="false" customHeight="false" outlineLevel="0" collapsed="false">
      <c r="A38" s="16" t="s">
        <v>45</v>
      </c>
      <c r="B38" s="17" t="n">
        <v>4</v>
      </c>
      <c r="C38" s="17" t="s">
        <v>69</v>
      </c>
      <c r="D38" s="16" t="s">
        <v>68</v>
      </c>
      <c r="E38" s="17" t="n">
        <v>16</v>
      </c>
      <c r="F38" s="26" t="n">
        <v>0.028099565836365</v>
      </c>
      <c r="G38" s="17" t="n">
        <v>64</v>
      </c>
      <c r="H38" s="17" t="n">
        <v>1500</v>
      </c>
      <c r="I38" s="17"/>
      <c r="J38" s="17" t="n">
        <v>5</v>
      </c>
      <c r="K38" s="17"/>
      <c r="L38" s="17"/>
      <c r="M38" s="17"/>
      <c r="N38" s="27" t="str">
        <f aca="false">IF(F38=_xlfn.MINIFS($F$2:$F$948,$A$2:$A$948,$A38,$B$2:$B$948,$B38),"BEST","")</f>
        <v/>
      </c>
    </row>
    <row r="39" customFormat="false" ht="15" hidden="false" customHeight="false" outlineLevel="0" collapsed="false">
      <c r="A39" s="16" t="s">
        <v>45</v>
      </c>
      <c r="B39" s="17" t="n">
        <v>4</v>
      </c>
      <c r="C39" s="17" t="s">
        <v>69</v>
      </c>
      <c r="D39" s="16" t="s">
        <v>68</v>
      </c>
      <c r="E39" s="17" t="n">
        <v>17</v>
      </c>
      <c r="F39" s="26" t="n">
        <v>0.0284817114299803</v>
      </c>
      <c r="G39" s="17" t="n">
        <v>64</v>
      </c>
      <c r="H39" s="17" t="n">
        <v>1500</v>
      </c>
      <c r="I39" s="17"/>
      <c r="J39" s="17" t="n">
        <v>5</v>
      </c>
      <c r="K39" s="17"/>
      <c r="L39" s="17"/>
      <c r="M39" s="17"/>
      <c r="N39" s="27" t="str">
        <f aca="false">IF(F39=_xlfn.MINIFS($F$2:$F$948,$A$2:$A$948,$A39,$B$2:$B$948,$B39),"BEST","")</f>
        <v/>
      </c>
    </row>
    <row r="40" customFormat="false" ht="15" hidden="false" customHeight="false" outlineLevel="0" collapsed="false">
      <c r="A40" s="16" t="s">
        <v>45</v>
      </c>
      <c r="B40" s="17" t="n">
        <v>4</v>
      </c>
      <c r="C40" s="17" t="s">
        <v>69</v>
      </c>
      <c r="D40" s="16" t="s">
        <v>68</v>
      </c>
      <c r="E40" s="17" t="n">
        <v>18</v>
      </c>
      <c r="F40" s="26" t="n">
        <v>0.0182014702001059</v>
      </c>
      <c r="G40" s="17" t="n">
        <v>64</v>
      </c>
      <c r="H40" s="17" t="n">
        <v>1500</v>
      </c>
      <c r="I40" s="17"/>
      <c r="J40" s="17" t="n">
        <v>5</v>
      </c>
      <c r="K40" s="17"/>
      <c r="L40" s="17"/>
      <c r="M40" s="17"/>
      <c r="N40" s="27" t="str">
        <f aca="false">IF(F40=_xlfn.MINIFS($F$2:$F$948,$A$2:$A$948,$A40,$B$2:$B$948,$B40),"BEST","")</f>
        <v/>
      </c>
    </row>
    <row r="41" customFormat="false" ht="15" hidden="false" customHeight="false" outlineLevel="0" collapsed="false">
      <c r="A41" s="16" t="s">
        <v>45</v>
      </c>
      <c r="B41" s="17" t="n">
        <v>4</v>
      </c>
      <c r="C41" s="17" t="s">
        <v>69</v>
      </c>
      <c r="D41" s="16" t="s">
        <v>68</v>
      </c>
      <c r="E41" s="17" t="n">
        <v>19</v>
      </c>
      <c r="F41" s="26" t="n">
        <v>0.0188671487614361</v>
      </c>
      <c r="G41" s="17" t="n">
        <v>64</v>
      </c>
      <c r="H41" s="17" t="n">
        <v>1500</v>
      </c>
      <c r="I41" s="17"/>
      <c r="J41" s="17" t="n">
        <v>5</v>
      </c>
      <c r="K41" s="17"/>
      <c r="L41" s="17"/>
      <c r="M41" s="17"/>
      <c r="N41" s="27" t="str">
        <f aca="false">IF(F41=_xlfn.MINIFS($F$2:$F$948,$A$2:$A$948,$A41,$B$2:$B$948,$B41),"BEST","")</f>
        <v/>
      </c>
    </row>
    <row r="42" customFormat="false" ht="15" hidden="false" customHeight="false" outlineLevel="0" collapsed="false">
      <c r="A42" s="16" t="s">
        <v>45</v>
      </c>
      <c r="B42" s="17" t="n">
        <v>4</v>
      </c>
      <c r="C42" s="17" t="s">
        <v>70</v>
      </c>
      <c r="D42" s="16" t="s">
        <v>68</v>
      </c>
      <c r="E42" s="17" t="n">
        <v>0</v>
      </c>
      <c r="F42" s="26" t="n">
        <v>1.5867011999559E-006</v>
      </c>
      <c r="G42" s="17" t="n">
        <v>21</v>
      </c>
      <c r="H42" s="17" t="n">
        <v>1500</v>
      </c>
      <c r="I42" s="17"/>
      <c r="J42" s="17" t="n">
        <v>5</v>
      </c>
      <c r="K42" s="17"/>
      <c r="L42" s="17"/>
      <c r="M42" s="17" t="n">
        <v>2</v>
      </c>
      <c r="N42" s="27" t="str">
        <f aca="false">IF(F42=_xlfn.MINIFS($F$2:$F$948,$A$2:$A$948,$A42,$B$2:$B$948,$B42),"BEST","")</f>
        <v>BEST</v>
      </c>
    </row>
    <row r="43" customFormat="false" ht="15" hidden="false" customHeight="false" outlineLevel="0" collapsed="false">
      <c r="A43" s="16" t="s">
        <v>45</v>
      </c>
      <c r="B43" s="17" t="n">
        <v>4</v>
      </c>
      <c r="C43" s="17" t="s">
        <v>70</v>
      </c>
      <c r="D43" s="16" t="s">
        <v>68</v>
      </c>
      <c r="E43" s="17" t="n">
        <v>1</v>
      </c>
      <c r="F43" s="26" t="n">
        <v>1.5867011999559E-006</v>
      </c>
      <c r="G43" s="17" t="n">
        <v>21</v>
      </c>
      <c r="H43" s="17" t="n">
        <v>1500</v>
      </c>
      <c r="I43" s="17"/>
      <c r="J43" s="17" t="n">
        <v>5</v>
      </c>
      <c r="K43" s="17"/>
      <c r="L43" s="17"/>
      <c r="M43" s="17" t="n">
        <v>2</v>
      </c>
      <c r="N43" s="27" t="str">
        <f aca="false">IF(F43=_xlfn.MINIFS($F$2:$F$948,$A$2:$A$948,$A43,$B$2:$B$948,$B43),"BEST","")</f>
        <v>BEST</v>
      </c>
    </row>
    <row r="44" customFormat="false" ht="15" hidden="false" customHeight="false" outlineLevel="0" collapsed="false">
      <c r="A44" s="16" t="s">
        <v>45</v>
      </c>
      <c r="B44" s="17" t="n">
        <v>4</v>
      </c>
      <c r="C44" s="17" t="s">
        <v>70</v>
      </c>
      <c r="D44" s="16" t="s">
        <v>68</v>
      </c>
      <c r="E44" s="17" t="n">
        <v>2</v>
      </c>
      <c r="F44" s="26" t="n">
        <v>1.5867011999559E-006</v>
      </c>
      <c r="G44" s="17" t="n">
        <v>21</v>
      </c>
      <c r="H44" s="17" t="n">
        <v>1500</v>
      </c>
      <c r="I44" s="17"/>
      <c r="J44" s="17" t="n">
        <v>5</v>
      </c>
      <c r="K44" s="17"/>
      <c r="L44" s="17"/>
      <c r="M44" s="17" t="n">
        <v>2</v>
      </c>
      <c r="N44" s="27" t="str">
        <f aca="false">IF(F44=_xlfn.MINIFS($F$2:$F$948,$A$2:$A$948,$A44,$B$2:$B$948,$B44),"BEST","")</f>
        <v>BEST</v>
      </c>
    </row>
    <row r="45" customFormat="false" ht="15" hidden="false" customHeight="false" outlineLevel="0" collapsed="false">
      <c r="A45" s="16" t="s">
        <v>45</v>
      </c>
      <c r="B45" s="17" t="n">
        <v>4</v>
      </c>
      <c r="C45" s="17" t="s">
        <v>70</v>
      </c>
      <c r="D45" s="16" t="s">
        <v>68</v>
      </c>
      <c r="E45" s="17" t="n">
        <v>3</v>
      </c>
      <c r="F45" s="26" t="n">
        <v>1.5867011999559E-006</v>
      </c>
      <c r="G45" s="17" t="n">
        <v>21</v>
      </c>
      <c r="H45" s="17" t="n">
        <v>1500</v>
      </c>
      <c r="I45" s="17"/>
      <c r="J45" s="17" t="n">
        <v>5</v>
      </c>
      <c r="K45" s="17"/>
      <c r="L45" s="17"/>
      <c r="M45" s="17" t="n">
        <v>2</v>
      </c>
      <c r="N45" s="27" t="str">
        <f aca="false">IF(F45=_xlfn.MINIFS($F$2:$F$948,$A$2:$A$948,$A45,$B$2:$B$948,$B45),"BEST","")</f>
        <v>BEST</v>
      </c>
    </row>
    <row r="46" customFormat="false" ht="15" hidden="false" customHeight="false" outlineLevel="0" collapsed="false">
      <c r="A46" s="16" t="s">
        <v>45</v>
      </c>
      <c r="B46" s="17" t="n">
        <v>4</v>
      </c>
      <c r="C46" s="17" t="s">
        <v>70</v>
      </c>
      <c r="D46" s="16" t="s">
        <v>68</v>
      </c>
      <c r="E46" s="17" t="n">
        <v>4</v>
      </c>
      <c r="F46" s="26" t="n">
        <v>1.5867011999559E-006</v>
      </c>
      <c r="G46" s="17" t="n">
        <v>21</v>
      </c>
      <c r="H46" s="17" t="n">
        <v>1500</v>
      </c>
      <c r="I46" s="17"/>
      <c r="J46" s="17" t="n">
        <v>5</v>
      </c>
      <c r="K46" s="17"/>
      <c r="L46" s="17"/>
      <c r="M46" s="17" t="n">
        <v>2</v>
      </c>
      <c r="N46" s="27" t="str">
        <f aca="false">IF(F46=_xlfn.MINIFS($F$2:$F$948,$A$2:$A$948,$A46,$B$2:$B$948,$B46),"BEST","")</f>
        <v>BEST</v>
      </c>
    </row>
    <row r="47" customFormat="false" ht="15" hidden="false" customHeight="false" outlineLevel="0" collapsed="false">
      <c r="A47" s="16" t="s">
        <v>45</v>
      </c>
      <c r="B47" s="17" t="n">
        <v>4</v>
      </c>
      <c r="C47" s="17" t="s">
        <v>70</v>
      </c>
      <c r="D47" s="16" t="s">
        <v>68</v>
      </c>
      <c r="E47" s="17" t="n">
        <v>5</v>
      </c>
      <c r="F47" s="26" t="n">
        <v>1.5867011999559E-006</v>
      </c>
      <c r="G47" s="17" t="n">
        <v>21</v>
      </c>
      <c r="H47" s="17" t="n">
        <v>1500</v>
      </c>
      <c r="I47" s="17"/>
      <c r="J47" s="17" t="n">
        <v>5</v>
      </c>
      <c r="K47" s="17"/>
      <c r="L47" s="17"/>
      <c r="M47" s="17" t="n">
        <v>2</v>
      </c>
      <c r="N47" s="27" t="str">
        <f aca="false">IF(F47=_xlfn.MINIFS($F$2:$F$948,$A$2:$A$948,$A47,$B$2:$B$948,$B47),"BEST","")</f>
        <v>BEST</v>
      </c>
    </row>
    <row r="48" customFormat="false" ht="15" hidden="false" customHeight="false" outlineLevel="0" collapsed="false">
      <c r="A48" s="16" t="s">
        <v>45</v>
      </c>
      <c r="B48" s="17" t="n">
        <v>4</v>
      </c>
      <c r="C48" s="17" t="s">
        <v>70</v>
      </c>
      <c r="D48" s="16" t="s">
        <v>68</v>
      </c>
      <c r="E48" s="17" t="n">
        <v>6</v>
      </c>
      <c r="F48" s="26" t="n">
        <v>1.5867011999559E-006</v>
      </c>
      <c r="G48" s="17" t="n">
        <v>21</v>
      </c>
      <c r="H48" s="17" t="n">
        <v>1500</v>
      </c>
      <c r="I48" s="17"/>
      <c r="J48" s="17" t="n">
        <v>5</v>
      </c>
      <c r="K48" s="17"/>
      <c r="L48" s="17"/>
      <c r="M48" s="17" t="n">
        <v>2</v>
      </c>
      <c r="N48" s="27" t="str">
        <f aca="false">IF(F48=_xlfn.MINIFS($F$2:$F$948,$A$2:$A$948,$A48,$B$2:$B$948,$B48),"BEST","")</f>
        <v>BEST</v>
      </c>
    </row>
    <row r="49" customFormat="false" ht="15" hidden="false" customHeight="false" outlineLevel="0" collapsed="false">
      <c r="A49" s="16" t="s">
        <v>45</v>
      </c>
      <c r="B49" s="17" t="n">
        <v>4</v>
      </c>
      <c r="C49" s="17" t="s">
        <v>70</v>
      </c>
      <c r="D49" s="16" t="s">
        <v>68</v>
      </c>
      <c r="E49" s="17" t="n">
        <v>7</v>
      </c>
      <c r="F49" s="26" t="n">
        <v>1.5867011999559E-006</v>
      </c>
      <c r="G49" s="17" t="n">
        <v>21</v>
      </c>
      <c r="H49" s="17" t="n">
        <v>1500</v>
      </c>
      <c r="I49" s="17"/>
      <c r="J49" s="17" t="n">
        <v>5</v>
      </c>
      <c r="K49" s="17"/>
      <c r="L49" s="17"/>
      <c r="M49" s="17" t="n">
        <v>2</v>
      </c>
      <c r="N49" s="27" t="str">
        <f aca="false">IF(F49=_xlfn.MINIFS($F$2:$F$948,$A$2:$A$948,$A49,$B$2:$B$948,$B49),"BEST","")</f>
        <v>BEST</v>
      </c>
    </row>
    <row r="50" customFormat="false" ht="15" hidden="false" customHeight="false" outlineLevel="0" collapsed="false">
      <c r="A50" s="16" t="s">
        <v>45</v>
      </c>
      <c r="B50" s="17" t="n">
        <v>4</v>
      </c>
      <c r="C50" s="17" t="s">
        <v>70</v>
      </c>
      <c r="D50" s="16" t="s">
        <v>68</v>
      </c>
      <c r="E50" s="17" t="n">
        <v>8</v>
      </c>
      <c r="F50" s="26" t="n">
        <v>1.5867011999559E-006</v>
      </c>
      <c r="G50" s="17" t="n">
        <v>21</v>
      </c>
      <c r="H50" s="17" t="n">
        <v>1500</v>
      </c>
      <c r="I50" s="17"/>
      <c r="J50" s="17" t="n">
        <v>5</v>
      </c>
      <c r="K50" s="17"/>
      <c r="L50" s="17"/>
      <c r="M50" s="17" t="n">
        <v>2</v>
      </c>
      <c r="N50" s="27" t="str">
        <f aca="false">IF(F50=_xlfn.MINIFS($F$2:$F$948,$A$2:$A$948,$A50,$B$2:$B$948,$B50),"BEST","")</f>
        <v>BEST</v>
      </c>
    </row>
    <row r="51" customFormat="false" ht="15" hidden="false" customHeight="false" outlineLevel="0" collapsed="false">
      <c r="A51" s="16" t="s">
        <v>45</v>
      </c>
      <c r="B51" s="17" t="n">
        <v>4</v>
      </c>
      <c r="C51" s="17" t="s">
        <v>70</v>
      </c>
      <c r="D51" s="16" t="s">
        <v>68</v>
      </c>
      <c r="E51" s="17" t="n">
        <v>9</v>
      </c>
      <c r="F51" s="26" t="n">
        <v>1.5867011999559E-006</v>
      </c>
      <c r="G51" s="17" t="n">
        <v>21</v>
      </c>
      <c r="H51" s="17" t="n">
        <v>1500</v>
      </c>
      <c r="I51" s="17"/>
      <c r="J51" s="17" t="n">
        <v>5</v>
      </c>
      <c r="K51" s="17"/>
      <c r="L51" s="17"/>
      <c r="M51" s="17" t="n">
        <v>2</v>
      </c>
      <c r="N51" s="27" t="str">
        <f aca="false">IF(F51=_xlfn.MINIFS($F$2:$F$948,$A$2:$A$948,$A51,$B$2:$B$948,$B51),"BEST","")</f>
        <v>BEST</v>
      </c>
    </row>
    <row r="52" customFormat="false" ht="15" hidden="false" customHeight="false" outlineLevel="0" collapsed="false">
      <c r="A52" s="16" t="s">
        <v>45</v>
      </c>
      <c r="B52" s="17" t="n">
        <v>4</v>
      </c>
      <c r="C52" s="17" t="s">
        <v>70</v>
      </c>
      <c r="D52" s="16" t="s">
        <v>68</v>
      </c>
      <c r="E52" s="17" t="n">
        <v>10</v>
      </c>
      <c r="F52" s="26" t="n">
        <v>1.5867011999559E-006</v>
      </c>
      <c r="G52" s="17" t="n">
        <v>21</v>
      </c>
      <c r="H52" s="17" t="n">
        <v>1500</v>
      </c>
      <c r="I52" s="17"/>
      <c r="J52" s="17" t="n">
        <v>5</v>
      </c>
      <c r="K52" s="17"/>
      <c r="L52" s="17"/>
      <c r="M52" s="17" t="n">
        <v>2</v>
      </c>
      <c r="N52" s="27" t="str">
        <f aca="false">IF(F52=_xlfn.MINIFS($F$2:$F$948,$A$2:$A$948,$A52,$B$2:$B$948,$B52),"BEST","")</f>
        <v>BEST</v>
      </c>
    </row>
    <row r="53" customFormat="false" ht="15" hidden="false" customHeight="false" outlineLevel="0" collapsed="false">
      <c r="A53" s="16" t="s">
        <v>45</v>
      </c>
      <c r="B53" s="17" t="n">
        <v>4</v>
      </c>
      <c r="C53" s="17" t="s">
        <v>70</v>
      </c>
      <c r="D53" s="16" t="s">
        <v>68</v>
      </c>
      <c r="E53" s="17" t="n">
        <v>11</v>
      </c>
      <c r="F53" s="26" t="n">
        <v>1.5867011999559E-006</v>
      </c>
      <c r="G53" s="17" t="n">
        <v>21</v>
      </c>
      <c r="H53" s="17" t="n">
        <v>1500</v>
      </c>
      <c r="I53" s="17"/>
      <c r="J53" s="17" t="n">
        <v>5</v>
      </c>
      <c r="K53" s="17"/>
      <c r="L53" s="17"/>
      <c r="M53" s="17" t="n">
        <v>2</v>
      </c>
      <c r="N53" s="27" t="str">
        <f aca="false">IF(F53=_xlfn.MINIFS($F$2:$F$948,$A$2:$A$948,$A53,$B$2:$B$948,$B53),"BEST","")</f>
        <v>BEST</v>
      </c>
    </row>
    <row r="54" customFormat="false" ht="15" hidden="false" customHeight="false" outlineLevel="0" collapsed="false">
      <c r="A54" s="16" t="s">
        <v>45</v>
      </c>
      <c r="B54" s="17" t="n">
        <v>4</v>
      </c>
      <c r="C54" s="17" t="s">
        <v>70</v>
      </c>
      <c r="D54" s="16" t="s">
        <v>68</v>
      </c>
      <c r="E54" s="17" t="n">
        <v>12</v>
      </c>
      <c r="F54" s="26" t="n">
        <v>1.5867011999559E-006</v>
      </c>
      <c r="G54" s="17" t="n">
        <v>21</v>
      </c>
      <c r="H54" s="17" t="n">
        <v>1500</v>
      </c>
      <c r="I54" s="17"/>
      <c r="J54" s="17" t="n">
        <v>5</v>
      </c>
      <c r="K54" s="17"/>
      <c r="L54" s="17"/>
      <c r="M54" s="17" t="n">
        <v>2</v>
      </c>
      <c r="N54" s="27" t="str">
        <f aca="false">IF(F54=_xlfn.MINIFS($F$2:$F$948,$A$2:$A$948,$A54,$B$2:$B$948,$B54),"BEST","")</f>
        <v>BEST</v>
      </c>
    </row>
    <row r="55" customFormat="false" ht="15" hidden="false" customHeight="false" outlineLevel="0" collapsed="false">
      <c r="A55" s="16" t="s">
        <v>45</v>
      </c>
      <c r="B55" s="17" t="n">
        <v>4</v>
      </c>
      <c r="C55" s="17" t="s">
        <v>70</v>
      </c>
      <c r="D55" s="16" t="s">
        <v>68</v>
      </c>
      <c r="E55" s="17" t="n">
        <v>13</v>
      </c>
      <c r="F55" s="26" t="n">
        <v>1.5867011999559E-006</v>
      </c>
      <c r="G55" s="17" t="n">
        <v>21</v>
      </c>
      <c r="H55" s="17" t="n">
        <v>1500</v>
      </c>
      <c r="I55" s="17"/>
      <c r="J55" s="17" t="n">
        <v>5</v>
      </c>
      <c r="K55" s="17"/>
      <c r="L55" s="17"/>
      <c r="M55" s="17" t="n">
        <v>2</v>
      </c>
      <c r="N55" s="27" t="str">
        <f aca="false">IF(F55=_xlfn.MINIFS($F$2:$F$948,$A$2:$A$948,$A55,$B$2:$B$948,$B55),"BEST","")</f>
        <v>BEST</v>
      </c>
    </row>
    <row r="56" customFormat="false" ht="15" hidden="false" customHeight="false" outlineLevel="0" collapsed="false">
      <c r="A56" s="16" t="s">
        <v>45</v>
      </c>
      <c r="B56" s="17" t="n">
        <v>4</v>
      </c>
      <c r="C56" s="17" t="s">
        <v>70</v>
      </c>
      <c r="D56" s="16" t="s">
        <v>68</v>
      </c>
      <c r="E56" s="17" t="n">
        <v>14</v>
      </c>
      <c r="F56" s="26" t="n">
        <v>1.5867011999559E-006</v>
      </c>
      <c r="G56" s="17" t="n">
        <v>21</v>
      </c>
      <c r="H56" s="17" t="n">
        <v>1500</v>
      </c>
      <c r="I56" s="17"/>
      <c r="J56" s="17" t="n">
        <v>5</v>
      </c>
      <c r="K56" s="17"/>
      <c r="L56" s="17"/>
      <c r="M56" s="17" t="n">
        <v>2</v>
      </c>
      <c r="N56" s="27" t="str">
        <f aca="false">IF(F56=_xlfn.MINIFS($F$2:$F$948,$A$2:$A$948,$A56,$B$2:$B$948,$B56),"BEST","")</f>
        <v>BEST</v>
      </c>
    </row>
    <row r="57" customFormat="false" ht="15" hidden="false" customHeight="false" outlineLevel="0" collapsed="false">
      <c r="A57" s="16" t="s">
        <v>45</v>
      </c>
      <c r="B57" s="17" t="n">
        <v>4</v>
      </c>
      <c r="C57" s="17" t="s">
        <v>70</v>
      </c>
      <c r="D57" s="16" t="s">
        <v>68</v>
      </c>
      <c r="E57" s="17" t="n">
        <v>15</v>
      </c>
      <c r="F57" s="26" t="n">
        <v>1.5867011999559E-006</v>
      </c>
      <c r="G57" s="17" t="n">
        <v>21</v>
      </c>
      <c r="H57" s="17" t="n">
        <v>1500</v>
      </c>
      <c r="I57" s="17"/>
      <c r="J57" s="17" t="n">
        <v>5</v>
      </c>
      <c r="K57" s="17"/>
      <c r="L57" s="17"/>
      <c r="M57" s="17" t="n">
        <v>2</v>
      </c>
      <c r="N57" s="27" t="str">
        <f aca="false">IF(F57=_xlfn.MINIFS($F$2:$F$948,$A$2:$A$948,$A57,$B$2:$B$948,$B57),"BEST","")</f>
        <v>BEST</v>
      </c>
    </row>
    <row r="58" customFormat="false" ht="15" hidden="false" customHeight="false" outlineLevel="0" collapsed="false">
      <c r="A58" s="16" t="s">
        <v>45</v>
      </c>
      <c r="B58" s="17" t="n">
        <v>4</v>
      </c>
      <c r="C58" s="17" t="s">
        <v>70</v>
      </c>
      <c r="D58" s="16" t="s">
        <v>68</v>
      </c>
      <c r="E58" s="17" t="n">
        <v>16</v>
      </c>
      <c r="F58" s="26" t="n">
        <v>1.5867011999559E-006</v>
      </c>
      <c r="G58" s="17" t="n">
        <v>21</v>
      </c>
      <c r="H58" s="17" t="n">
        <v>1500</v>
      </c>
      <c r="I58" s="17"/>
      <c r="J58" s="17" t="n">
        <v>5</v>
      </c>
      <c r="K58" s="17"/>
      <c r="L58" s="17"/>
      <c r="M58" s="17" t="n">
        <v>2</v>
      </c>
      <c r="N58" s="27" t="str">
        <f aca="false">IF(F58=_xlfn.MINIFS($F$2:$F$948,$A$2:$A$948,$A58,$B$2:$B$948,$B58),"BEST","")</f>
        <v>BEST</v>
      </c>
    </row>
    <row r="59" customFormat="false" ht="15" hidden="false" customHeight="false" outlineLevel="0" collapsed="false">
      <c r="A59" s="16" t="s">
        <v>45</v>
      </c>
      <c r="B59" s="17" t="n">
        <v>4</v>
      </c>
      <c r="C59" s="17" t="s">
        <v>70</v>
      </c>
      <c r="D59" s="16" t="s">
        <v>68</v>
      </c>
      <c r="E59" s="17" t="n">
        <v>17</v>
      </c>
      <c r="F59" s="26" t="n">
        <v>1.5867011999559E-006</v>
      </c>
      <c r="G59" s="17" t="n">
        <v>21</v>
      </c>
      <c r="H59" s="17" t="n">
        <v>1500</v>
      </c>
      <c r="I59" s="17"/>
      <c r="J59" s="17" t="n">
        <v>5</v>
      </c>
      <c r="K59" s="17"/>
      <c r="L59" s="17"/>
      <c r="M59" s="17" t="n">
        <v>2</v>
      </c>
      <c r="N59" s="27" t="str">
        <f aca="false">IF(F59=_xlfn.MINIFS($F$2:$F$948,$A$2:$A$948,$A59,$B$2:$B$948,$B59),"BEST","")</f>
        <v>BEST</v>
      </c>
    </row>
    <row r="60" customFormat="false" ht="15" hidden="false" customHeight="false" outlineLevel="0" collapsed="false">
      <c r="A60" s="16" t="s">
        <v>45</v>
      </c>
      <c r="B60" s="17" t="n">
        <v>4</v>
      </c>
      <c r="C60" s="17" t="s">
        <v>70</v>
      </c>
      <c r="D60" s="16" t="s">
        <v>68</v>
      </c>
      <c r="E60" s="17" t="n">
        <v>18</v>
      </c>
      <c r="F60" s="26" t="n">
        <v>1.5867011999559E-006</v>
      </c>
      <c r="G60" s="17" t="n">
        <v>21</v>
      </c>
      <c r="H60" s="17" t="n">
        <v>1500</v>
      </c>
      <c r="I60" s="17"/>
      <c r="J60" s="17" t="n">
        <v>5</v>
      </c>
      <c r="K60" s="17"/>
      <c r="L60" s="17"/>
      <c r="M60" s="17" t="n">
        <v>2</v>
      </c>
      <c r="N60" s="27" t="str">
        <f aca="false">IF(F60=_xlfn.MINIFS($F$2:$F$948,$A$2:$A$948,$A60,$B$2:$B$948,$B60),"BEST","")</f>
        <v>BEST</v>
      </c>
    </row>
    <row r="61" customFormat="false" ht="15" hidden="false" customHeight="false" outlineLevel="0" collapsed="false">
      <c r="A61" s="16" t="s">
        <v>45</v>
      </c>
      <c r="B61" s="17" t="n">
        <v>4</v>
      </c>
      <c r="C61" s="17" t="s">
        <v>70</v>
      </c>
      <c r="D61" s="16" t="s">
        <v>68</v>
      </c>
      <c r="E61" s="17" t="n">
        <v>19</v>
      </c>
      <c r="F61" s="26" t="n">
        <v>1.5867011999559E-006</v>
      </c>
      <c r="G61" s="17" t="n">
        <v>21</v>
      </c>
      <c r="H61" s="17" t="n">
        <v>1500</v>
      </c>
      <c r="I61" s="17"/>
      <c r="J61" s="17" t="n">
        <v>5</v>
      </c>
      <c r="K61" s="17"/>
      <c r="L61" s="17"/>
      <c r="M61" s="17" t="n">
        <v>2</v>
      </c>
      <c r="N61" s="27" t="str">
        <f aca="false">IF(F61=_xlfn.MINIFS($F$2:$F$948,$A$2:$A$948,$A61,$B$2:$B$948,$B61),"BEST","")</f>
        <v>BEST</v>
      </c>
    </row>
    <row r="62" customFormat="false" ht="15" hidden="false" customHeight="false" outlineLevel="0" collapsed="false">
      <c r="A62" s="22" t="s">
        <v>45</v>
      </c>
      <c r="B62" s="23" t="n">
        <v>4</v>
      </c>
      <c r="C62" s="23" t="s">
        <v>71</v>
      </c>
      <c r="D62" s="22" t="s">
        <v>72</v>
      </c>
      <c r="E62" s="23" t="n">
        <v>0</v>
      </c>
      <c r="F62" s="28" t="n">
        <v>0.00439639409848731</v>
      </c>
      <c r="G62" s="23" t="n">
        <v>64</v>
      </c>
      <c r="H62" s="23" t="n">
        <v>1500</v>
      </c>
      <c r="I62" s="23" t="n">
        <v>4</v>
      </c>
      <c r="J62" s="23" t="n">
        <v>5</v>
      </c>
      <c r="K62" s="22" t="s">
        <v>73</v>
      </c>
      <c r="L62" s="22" t="s">
        <v>74</v>
      </c>
      <c r="M62" s="23"/>
      <c r="N62" s="27" t="str">
        <f aca="false">IF(F62=_xlfn.MINIFS($F$2:$F$948,$A$2:$A$948,$A62,$B$2:$B$948,$B62),"BEST","")</f>
        <v/>
      </c>
    </row>
    <row r="63" customFormat="false" ht="15" hidden="false" customHeight="false" outlineLevel="0" collapsed="false">
      <c r="A63" s="22" t="s">
        <v>45</v>
      </c>
      <c r="B63" s="23" t="n">
        <v>4</v>
      </c>
      <c r="C63" s="23" t="s">
        <v>71</v>
      </c>
      <c r="D63" s="22" t="s">
        <v>72</v>
      </c>
      <c r="E63" s="23" t="n">
        <v>1</v>
      </c>
      <c r="F63" s="28" t="n">
        <v>0.00444057967104014</v>
      </c>
      <c r="G63" s="23" t="n">
        <v>64</v>
      </c>
      <c r="H63" s="23" t="n">
        <v>1500</v>
      </c>
      <c r="I63" s="23" t="n">
        <v>4</v>
      </c>
      <c r="J63" s="23" t="n">
        <v>5</v>
      </c>
      <c r="K63" s="22" t="s">
        <v>73</v>
      </c>
      <c r="L63" s="22" t="s">
        <v>74</v>
      </c>
      <c r="M63" s="23"/>
      <c r="N63" s="27" t="str">
        <f aca="false">IF(F63=_xlfn.MINIFS($F$2:$F$948,$A$2:$A$948,$A63,$B$2:$B$948,$B63),"BEST","")</f>
        <v/>
      </c>
    </row>
    <row r="64" customFormat="false" ht="15" hidden="false" customHeight="false" outlineLevel="0" collapsed="false">
      <c r="A64" s="22" t="s">
        <v>45</v>
      </c>
      <c r="B64" s="23" t="n">
        <v>4</v>
      </c>
      <c r="C64" s="23" t="s">
        <v>71</v>
      </c>
      <c r="D64" s="22" t="s">
        <v>72</v>
      </c>
      <c r="E64" s="23" t="n">
        <v>2</v>
      </c>
      <c r="F64" s="28" t="n">
        <v>0.00441502809410837</v>
      </c>
      <c r="G64" s="23" t="n">
        <v>64</v>
      </c>
      <c r="H64" s="23" t="n">
        <v>1500</v>
      </c>
      <c r="I64" s="23" t="n">
        <v>4</v>
      </c>
      <c r="J64" s="23" t="n">
        <v>5</v>
      </c>
      <c r="K64" s="22" t="s">
        <v>73</v>
      </c>
      <c r="L64" s="22" t="s">
        <v>74</v>
      </c>
      <c r="M64" s="23"/>
      <c r="N64" s="27" t="str">
        <f aca="false">IF(F64=_xlfn.MINIFS($F$2:$F$948,$A$2:$A$948,$A64,$B$2:$B$948,$B64),"BEST","")</f>
        <v/>
      </c>
    </row>
    <row r="65" customFormat="false" ht="15" hidden="false" customHeight="false" outlineLevel="0" collapsed="false">
      <c r="A65" s="22" t="s">
        <v>45</v>
      </c>
      <c r="B65" s="23" t="n">
        <v>4</v>
      </c>
      <c r="C65" s="23" t="s">
        <v>71</v>
      </c>
      <c r="D65" s="22" t="s">
        <v>72</v>
      </c>
      <c r="E65" s="23" t="n">
        <v>3</v>
      </c>
      <c r="F65" s="28" t="n">
        <v>0.00441370609291182</v>
      </c>
      <c r="G65" s="23" t="n">
        <v>64</v>
      </c>
      <c r="H65" s="23" t="n">
        <v>1500</v>
      </c>
      <c r="I65" s="23" t="n">
        <v>4</v>
      </c>
      <c r="J65" s="23" t="n">
        <v>5</v>
      </c>
      <c r="K65" s="22" t="s">
        <v>73</v>
      </c>
      <c r="L65" s="22" t="s">
        <v>74</v>
      </c>
      <c r="M65" s="23"/>
      <c r="N65" s="27" t="str">
        <f aca="false">IF(F65=_xlfn.MINIFS($F$2:$F$948,$A$2:$A$948,$A65,$B$2:$B$948,$B65),"BEST","")</f>
        <v/>
      </c>
    </row>
    <row r="66" customFormat="false" ht="15" hidden="false" customHeight="false" outlineLevel="0" collapsed="false">
      <c r="A66" s="22" t="s">
        <v>45</v>
      </c>
      <c r="B66" s="23" t="n">
        <v>4</v>
      </c>
      <c r="C66" s="23" t="s">
        <v>71</v>
      </c>
      <c r="D66" s="22" t="s">
        <v>72</v>
      </c>
      <c r="E66" s="23" t="n">
        <v>4</v>
      </c>
      <c r="F66" s="28" t="n">
        <v>0.00443216499435466</v>
      </c>
      <c r="G66" s="23" t="n">
        <v>64</v>
      </c>
      <c r="H66" s="23" t="n">
        <v>1500</v>
      </c>
      <c r="I66" s="23" t="n">
        <v>4</v>
      </c>
      <c r="J66" s="23" t="n">
        <v>5</v>
      </c>
      <c r="K66" s="22" t="s">
        <v>73</v>
      </c>
      <c r="L66" s="22" t="s">
        <v>74</v>
      </c>
      <c r="M66" s="23"/>
      <c r="N66" s="27" t="str">
        <f aca="false">IF(F66=_xlfn.MINIFS($F$2:$F$948,$A$2:$A$948,$A66,$B$2:$B$948,$B66),"BEST","")</f>
        <v/>
      </c>
    </row>
    <row r="67" customFormat="false" ht="15" hidden="false" customHeight="false" outlineLevel="0" collapsed="false">
      <c r="A67" s="22" t="s">
        <v>45</v>
      </c>
      <c r="B67" s="23" t="n">
        <v>4</v>
      </c>
      <c r="C67" s="23" t="s">
        <v>71</v>
      </c>
      <c r="D67" s="22" t="s">
        <v>72</v>
      </c>
      <c r="E67" s="23" t="n">
        <v>5</v>
      </c>
      <c r="F67" s="28" t="n">
        <v>0.00437760574930112</v>
      </c>
      <c r="G67" s="23" t="n">
        <v>64</v>
      </c>
      <c r="H67" s="23" t="n">
        <v>1500</v>
      </c>
      <c r="I67" s="23" t="n">
        <v>4</v>
      </c>
      <c r="J67" s="23" t="n">
        <v>5</v>
      </c>
      <c r="K67" s="22" t="s">
        <v>73</v>
      </c>
      <c r="L67" s="22" t="s">
        <v>74</v>
      </c>
      <c r="M67" s="23"/>
      <c r="N67" s="27" t="str">
        <f aca="false">IF(F67=_xlfn.MINIFS($F$2:$F$948,$A$2:$A$948,$A67,$B$2:$B$948,$B67),"BEST","")</f>
        <v/>
      </c>
    </row>
    <row r="68" customFormat="false" ht="15" hidden="false" customHeight="false" outlineLevel="0" collapsed="false">
      <c r="A68" s="22" t="s">
        <v>45</v>
      </c>
      <c r="B68" s="23" t="n">
        <v>4</v>
      </c>
      <c r="C68" s="23" t="s">
        <v>71</v>
      </c>
      <c r="D68" s="22" t="s">
        <v>72</v>
      </c>
      <c r="E68" s="23" t="n">
        <v>6</v>
      </c>
      <c r="F68" s="28" t="n">
        <v>0.00447149083509666</v>
      </c>
      <c r="G68" s="23" t="n">
        <v>64</v>
      </c>
      <c r="H68" s="23" t="n">
        <v>1500</v>
      </c>
      <c r="I68" s="23" t="n">
        <v>4</v>
      </c>
      <c r="J68" s="23" t="n">
        <v>5</v>
      </c>
      <c r="K68" s="22" t="s">
        <v>73</v>
      </c>
      <c r="L68" s="22" t="s">
        <v>74</v>
      </c>
      <c r="M68" s="23"/>
      <c r="N68" s="27" t="str">
        <f aca="false">IF(F68=_xlfn.MINIFS($F$2:$F$948,$A$2:$A$948,$A68,$B$2:$B$948,$B68),"BEST","")</f>
        <v/>
      </c>
    </row>
    <row r="69" customFormat="false" ht="15" hidden="false" customHeight="false" outlineLevel="0" collapsed="false">
      <c r="A69" s="22" t="s">
        <v>45</v>
      </c>
      <c r="B69" s="23" t="n">
        <v>4</v>
      </c>
      <c r="C69" s="23" t="s">
        <v>71</v>
      </c>
      <c r="D69" s="22" t="s">
        <v>72</v>
      </c>
      <c r="E69" s="23" t="n">
        <v>7</v>
      </c>
      <c r="F69" s="28" t="n">
        <v>0.00440798817332451</v>
      </c>
      <c r="G69" s="23" t="n">
        <v>64</v>
      </c>
      <c r="H69" s="23" t="n">
        <v>1500</v>
      </c>
      <c r="I69" s="23" t="n">
        <v>4</v>
      </c>
      <c r="J69" s="23" t="n">
        <v>5</v>
      </c>
      <c r="K69" s="22" t="s">
        <v>73</v>
      </c>
      <c r="L69" s="22" t="s">
        <v>74</v>
      </c>
      <c r="M69" s="23"/>
      <c r="N69" s="27" t="str">
        <f aca="false">IF(F69=_xlfn.MINIFS($F$2:$F$948,$A$2:$A$948,$A69,$B$2:$B$948,$B69),"BEST","")</f>
        <v/>
      </c>
    </row>
    <row r="70" customFormat="false" ht="15" hidden="false" customHeight="false" outlineLevel="0" collapsed="false">
      <c r="A70" s="22" t="s">
        <v>45</v>
      </c>
      <c r="B70" s="23" t="n">
        <v>4</v>
      </c>
      <c r="C70" s="23" t="s">
        <v>71</v>
      </c>
      <c r="D70" s="22" t="s">
        <v>72</v>
      </c>
      <c r="E70" s="23" t="n">
        <v>8</v>
      </c>
      <c r="F70" s="28" t="n">
        <v>0.00437226329183757</v>
      </c>
      <c r="G70" s="23" t="n">
        <v>64</v>
      </c>
      <c r="H70" s="23" t="n">
        <v>1500</v>
      </c>
      <c r="I70" s="23" t="n">
        <v>4</v>
      </c>
      <c r="J70" s="23" t="n">
        <v>5</v>
      </c>
      <c r="K70" s="22" t="s">
        <v>73</v>
      </c>
      <c r="L70" s="22" t="s">
        <v>74</v>
      </c>
      <c r="M70" s="23"/>
      <c r="N70" s="27" t="str">
        <f aca="false">IF(F70=_xlfn.MINIFS($F$2:$F$948,$A$2:$A$948,$A70,$B$2:$B$948,$B70),"BEST","")</f>
        <v/>
      </c>
    </row>
    <row r="71" customFormat="false" ht="15" hidden="false" customHeight="false" outlineLevel="0" collapsed="false">
      <c r="A71" s="22" t="s">
        <v>45</v>
      </c>
      <c r="B71" s="23" t="n">
        <v>4</v>
      </c>
      <c r="C71" s="23" t="s">
        <v>71</v>
      </c>
      <c r="D71" s="22" t="s">
        <v>72</v>
      </c>
      <c r="E71" s="23" t="n">
        <v>9</v>
      </c>
      <c r="F71" s="28" t="n">
        <v>0.00439326718007118</v>
      </c>
      <c r="G71" s="23" t="n">
        <v>64</v>
      </c>
      <c r="H71" s="23" t="n">
        <v>1500</v>
      </c>
      <c r="I71" s="23" t="n">
        <v>4</v>
      </c>
      <c r="J71" s="23" t="n">
        <v>5</v>
      </c>
      <c r="K71" s="22" t="s">
        <v>73</v>
      </c>
      <c r="L71" s="22" t="s">
        <v>74</v>
      </c>
      <c r="M71" s="23"/>
      <c r="N71" s="27" t="str">
        <f aca="false">IF(F71=_xlfn.MINIFS($F$2:$F$948,$A$2:$A$948,$A71,$B$2:$B$948,$B71),"BEST","")</f>
        <v/>
      </c>
    </row>
    <row r="72" customFormat="false" ht="15" hidden="false" customHeight="false" outlineLevel="0" collapsed="false">
      <c r="A72" s="16" t="s">
        <v>45</v>
      </c>
      <c r="B72" s="17" t="n">
        <v>6</v>
      </c>
      <c r="C72" s="17" t="s">
        <v>67</v>
      </c>
      <c r="D72" s="16" t="s">
        <v>68</v>
      </c>
      <c r="E72" s="17" t="n">
        <v>0</v>
      </c>
      <c r="F72" s="26" t="n">
        <v>0.000901320398785883</v>
      </c>
      <c r="G72" s="17" t="n">
        <v>96</v>
      </c>
      <c r="H72" s="17" t="n">
        <v>1500</v>
      </c>
      <c r="I72" s="17"/>
      <c r="J72" s="17" t="n">
        <v>5</v>
      </c>
      <c r="K72" s="17"/>
      <c r="L72" s="17"/>
      <c r="M72" s="17"/>
      <c r="N72" s="27" t="str">
        <f aca="false">IF(F72=_xlfn.MINIFS($F$2:$F$948,$A$2:$A$948,$A72,$B$2:$B$948,$B72),"BEST","")</f>
        <v/>
      </c>
    </row>
    <row r="73" customFormat="false" ht="15" hidden="false" customHeight="false" outlineLevel="0" collapsed="false">
      <c r="A73" s="16" t="s">
        <v>45</v>
      </c>
      <c r="B73" s="17" t="n">
        <v>6</v>
      </c>
      <c r="C73" s="17" t="s">
        <v>67</v>
      </c>
      <c r="D73" s="16" t="s">
        <v>68</v>
      </c>
      <c r="E73" s="17" t="n">
        <v>1</v>
      </c>
      <c r="F73" s="26" t="n">
        <v>0.000992449562470724</v>
      </c>
      <c r="G73" s="17" t="n">
        <v>96</v>
      </c>
      <c r="H73" s="17" t="n">
        <v>1500</v>
      </c>
      <c r="I73" s="17"/>
      <c r="J73" s="17" t="n">
        <v>5</v>
      </c>
      <c r="K73" s="17"/>
      <c r="L73" s="17"/>
      <c r="M73" s="17"/>
      <c r="N73" s="27" t="str">
        <f aca="false">IF(F73=_xlfn.MINIFS($F$2:$F$948,$A$2:$A$948,$A73,$B$2:$B$948,$B73),"BEST","")</f>
        <v/>
      </c>
    </row>
    <row r="74" customFormat="false" ht="15" hidden="false" customHeight="false" outlineLevel="0" collapsed="false">
      <c r="A74" s="16" t="s">
        <v>45</v>
      </c>
      <c r="B74" s="17" t="n">
        <v>6</v>
      </c>
      <c r="C74" s="17" t="s">
        <v>67</v>
      </c>
      <c r="D74" s="16" t="s">
        <v>68</v>
      </c>
      <c r="E74" s="17" t="n">
        <v>2</v>
      </c>
      <c r="F74" s="26" t="n">
        <v>0.00106205344055915</v>
      </c>
      <c r="G74" s="17" t="n">
        <v>96</v>
      </c>
      <c r="H74" s="17" t="n">
        <v>1500</v>
      </c>
      <c r="I74" s="17"/>
      <c r="J74" s="17" t="n">
        <v>5</v>
      </c>
      <c r="K74" s="17"/>
      <c r="L74" s="17"/>
      <c r="M74" s="17"/>
      <c r="N74" s="27" t="str">
        <f aca="false">IF(F74=_xlfn.MINIFS($F$2:$F$948,$A$2:$A$948,$A74,$B$2:$B$948,$B74),"BEST","")</f>
        <v/>
      </c>
    </row>
    <row r="75" customFormat="false" ht="15" hidden="false" customHeight="false" outlineLevel="0" collapsed="false">
      <c r="A75" s="16" t="s">
        <v>45</v>
      </c>
      <c r="B75" s="17" t="n">
        <v>6</v>
      </c>
      <c r="C75" s="17" t="s">
        <v>67</v>
      </c>
      <c r="D75" s="16" t="s">
        <v>68</v>
      </c>
      <c r="E75" s="17" t="n">
        <v>3</v>
      </c>
      <c r="F75" s="26" t="n">
        <v>0.00103536864964565</v>
      </c>
      <c r="G75" s="17" t="n">
        <v>96</v>
      </c>
      <c r="H75" s="17" t="n">
        <v>1500</v>
      </c>
      <c r="I75" s="17"/>
      <c r="J75" s="17" t="n">
        <v>5</v>
      </c>
      <c r="K75" s="17"/>
      <c r="L75" s="17"/>
      <c r="M75" s="17"/>
      <c r="N75" s="27" t="str">
        <f aca="false">IF(F75=_xlfn.MINIFS($F$2:$F$948,$A$2:$A$948,$A75,$B$2:$B$948,$B75),"BEST","")</f>
        <v/>
      </c>
    </row>
    <row r="76" customFormat="false" ht="15" hidden="false" customHeight="false" outlineLevel="0" collapsed="false">
      <c r="A76" s="16" t="s">
        <v>45</v>
      </c>
      <c r="B76" s="17" t="n">
        <v>6</v>
      </c>
      <c r="C76" s="17" t="s">
        <v>67</v>
      </c>
      <c r="D76" s="16" t="s">
        <v>68</v>
      </c>
      <c r="E76" s="17" t="n">
        <v>4</v>
      </c>
      <c r="F76" s="26" t="n">
        <v>0.000989774291212548</v>
      </c>
      <c r="G76" s="17" t="n">
        <v>96</v>
      </c>
      <c r="H76" s="17" t="n">
        <v>1500</v>
      </c>
      <c r="I76" s="17"/>
      <c r="J76" s="17" t="n">
        <v>5</v>
      </c>
      <c r="K76" s="17"/>
      <c r="L76" s="17"/>
      <c r="M76" s="17"/>
      <c r="N76" s="27" t="str">
        <f aca="false">IF(F76=_xlfn.MINIFS($F$2:$F$948,$A$2:$A$948,$A76,$B$2:$B$948,$B76),"BEST","")</f>
        <v/>
      </c>
    </row>
    <row r="77" customFormat="false" ht="15" hidden="false" customHeight="false" outlineLevel="0" collapsed="false">
      <c r="A77" s="16" t="s">
        <v>45</v>
      </c>
      <c r="B77" s="17" t="n">
        <v>6</v>
      </c>
      <c r="C77" s="17" t="s">
        <v>67</v>
      </c>
      <c r="D77" s="16" t="s">
        <v>68</v>
      </c>
      <c r="E77" s="17" t="n">
        <v>5</v>
      </c>
      <c r="F77" s="26" t="n">
        <v>0.000874461965463147</v>
      </c>
      <c r="G77" s="17" t="n">
        <v>96</v>
      </c>
      <c r="H77" s="17" t="n">
        <v>1500</v>
      </c>
      <c r="I77" s="17"/>
      <c r="J77" s="17" t="n">
        <v>5</v>
      </c>
      <c r="K77" s="17"/>
      <c r="L77" s="17"/>
      <c r="M77" s="17"/>
      <c r="N77" s="27" t="str">
        <f aca="false">IF(F77=_xlfn.MINIFS($F$2:$F$948,$A$2:$A$948,$A77,$B$2:$B$948,$B77),"BEST","")</f>
        <v/>
      </c>
    </row>
    <row r="78" customFormat="false" ht="15" hidden="false" customHeight="false" outlineLevel="0" collapsed="false">
      <c r="A78" s="16" t="s">
        <v>45</v>
      </c>
      <c r="B78" s="17" t="n">
        <v>6</v>
      </c>
      <c r="C78" s="17" t="s">
        <v>67</v>
      </c>
      <c r="D78" s="16" t="s">
        <v>68</v>
      </c>
      <c r="E78" s="17" t="n">
        <v>6</v>
      </c>
      <c r="F78" s="26" t="n">
        <v>0.000916582896711264</v>
      </c>
      <c r="G78" s="17" t="n">
        <v>96</v>
      </c>
      <c r="H78" s="17" t="n">
        <v>1500</v>
      </c>
      <c r="I78" s="17"/>
      <c r="J78" s="17" t="n">
        <v>5</v>
      </c>
      <c r="K78" s="17"/>
      <c r="L78" s="17"/>
      <c r="M78" s="17"/>
      <c r="N78" s="27" t="str">
        <f aca="false">IF(F78=_xlfn.MINIFS($F$2:$F$948,$A$2:$A$948,$A78,$B$2:$B$948,$B78),"BEST","")</f>
        <v/>
      </c>
    </row>
    <row r="79" customFormat="false" ht="15" hidden="false" customHeight="false" outlineLevel="0" collapsed="false">
      <c r="A79" s="16" t="s">
        <v>45</v>
      </c>
      <c r="B79" s="17" t="n">
        <v>6</v>
      </c>
      <c r="C79" s="17" t="s">
        <v>67</v>
      </c>
      <c r="D79" s="16" t="s">
        <v>68</v>
      </c>
      <c r="E79" s="17" t="n">
        <v>7</v>
      </c>
      <c r="F79" s="26" t="n">
        <v>0.00142779096079747</v>
      </c>
      <c r="G79" s="17" t="n">
        <v>96</v>
      </c>
      <c r="H79" s="17" t="n">
        <v>1500</v>
      </c>
      <c r="I79" s="17"/>
      <c r="J79" s="17" t="n">
        <v>5</v>
      </c>
      <c r="K79" s="17"/>
      <c r="L79" s="17"/>
      <c r="M79" s="17"/>
      <c r="N79" s="27" t="str">
        <f aca="false">IF(F79=_xlfn.MINIFS($F$2:$F$948,$A$2:$A$948,$A79,$B$2:$B$948,$B79),"BEST","")</f>
        <v/>
      </c>
    </row>
    <row r="80" customFormat="false" ht="15" hidden="false" customHeight="false" outlineLevel="0" collapsed="false">
      <c r="A80" s="16" t="s">
        <v>45</v>
      </c>
      <c r="B80" s="17" t="n">
        <v>6</v>
      </c>
      <c r="C80" s="17" t="s">
        <v>67</v>
      </c>
      <c r="D80" s="16" t="s">
        <v>68</v>
      </c>
      <c r="E80" s="17" t="n">
        <v>8</v>
      </c>
      <c r="F80" s="26" t="n">
        <v>0.000663309796889913</v>
      </c>
      <c r="G80" s="17" t="n">
        <v>96</v>
      </c>
      <c r="H80" s="17" t="n">
        <v>1500</v>
      </c>
      <c r="I80" s="17"/>
      <c r="J80" s="17" t="n">
        <v>5</v>
      </c>
      <c r="K80" s="17"/>
      <c r="L80" s="17"/>
      <c r="M80" s="17"/>
      <c r="N80" s="27" t="str">
        <f aca="false">IF(F80=_xlfn.MINIFS($F$2:$F$948,$A$2:$A$948,$A80,$B$2:$B$948,$B80),"BEST","")</f>
        <v/>
      </c>
    </row>
    <row r="81" customFormat="false" ht="15" hidden="false" customHeight="false" outlineLevel="0" collapsed="false">
      <c r="A81" s="16" t="s">
        <v>45</v>
      </c>
      <c r="B81" s="17" t="n">
        <v>6</v>
      </c>
      <c r="C81" s="17" t="s">
        <v>67</v>
      </c>
      <c r="D81" s="16" t="s">
        <v>68</v>
      </c>
      <c r="E81" s="17" t="n">
        <v>9</v>
      </c>
      <c r="F81" s="26" t="n">
        <v>0.00125602647211078</v>
      </c>
      <c r="G81" s="17" t="n">
        <v>96</v>
      </c>
      <c r="H81" s="17" t="n">
        <v>1500</v>
      </c>
      <c r="I81" s="17"/>
      <c r="J81" s="17" t="n">
        <v>5</v>
      </c>
      <c r="K81" s="17"/>
      <c r="L81" s="17"/>
      <c r="M81" s="17"/>
      <c r="N81" s="27" t="str">
        <f aca="false">IF(F81=_xlfn.MINIFS($F$2:$F$948,$A$2:$A$948,$A81,$B$2:$B$948,$B81),"BEST","")</f>
        <v/>
      </c>
    </row>
    <row r="82" customFormat="false" ht="15" hidden="false" customHeight="false" outlineLevel="0" collapsed="false">
      <c r="A82" s="16" t="s">
        <v>45</v>
      </c>
      <c r="B82" s="17" t="n">
        <v>6</v>
      </c>
      <c r="C82" s="17" t="s">
        <v>67</v>
      </c>
      <c r="D82" s="16" t="s">
        <v>68</v>
      </c>
      <c r="E82" s="17" t="n">
        <v>10</v>
      </c>
      <c r="F82" s="26" t="n">
        <v>0.000833122018955556</v>
      </c>
      <c r="G82" s="17" t="n">
        <v>96</v>
      </c>
      <c r="H82" s="17" t="n">
        <v>1500</v>
      </c>
      <c r="I82" s="17"/>
      <c r="J82" s="17" t="n">
        <v>5</v>
      </c>
      <c r="K82" s="17"/>
      <c r="L82" s="17"/>
      <c r="M82" s="17"/>
      <c r="N82" s="27" t="str">
        <f aca="false">IF(F82=_xlfn.MINIFS($F$2:$F$948,$A$2:$A$948,$A82,$B$2:$B$948,$B82),"BEST","")</f>
        <v/>
      </c>
    </row>
    <row r="83" customFormat="false" ht="15" hidden="false" customHeight="false" outlineLevel="0" collapsed="false">
      <c r="A83" s="16" t="s">
        <v>45</v>
      </c>
      <c r="B83" s="17" t="n">
        <v>6</v>
      </c>
      <c r="C83" s="17" t="s">
        <v>67</v>
      </c>
      <c r="D83" s="16" t="s">
        <v>68</v>
      </c>
      <c r="E83" s="17" t="n">
        <v>11</v>
      </c>
      <c r="F83" s="26" t="n">
        <v>0.00112687534909756</v>
      </c>
      <c r="G83" s="17" t="n">
        <v>96</v>
      </c>
      <c r="H83" s="17" t="n">
        <v>1500</v>
      </c>
      <c r="I83" s="17"/>
      <c r="J83" s="17" t="n">
        <v>5</v>
      </c>
      <c r="K83" s="17"/>
      <c r="L83" s="17"/>
      <c r="M83" s="17"/>
      <c r="N83" s="27" t="str">
        <f aca="false">IF(F83=_xlfn.MINIFS($F$2:$F$948,$A$2:$A$948,$A83,$B$2:$B$948,$B83),"BEST","")</f>
        <v/>
      </c>
    </row>
    <row r="84" customFormat="false" ht="15" hidden="false" customHeight="false" outlineLevel="0" collapsed="false">
      <c r="A84" s="16" t="s">
        <v>45</v>
      </c>
      <c r="B84" s="17" t="n">
        <v>6</v>
      </c>
      <c r="C84" s="17" t="s">
        <v>67</v>
      </c>
      <c r="D84" s="16" t="s">
        <v>68</v>
      </c>
      <c r="E84" s="17" t="n">
        <v>12</v>
      </c>
      <c r="F84" s="26" t="n">
        <v>0.000780226945911121</v>
      </c>
      <c r="G84" s="17" t="n">
        <v>96</v>
      </c>
      <c r="H84" s="17" t="n">
        <v>1500</v>
      </c>
      <c r="I84" s="17"/>
      <c r="J84" s="17" t="n">
        <v>5</v>
      </c>
      <c r="K84" s="17"/>
      <c r="L84" s="17"/>
      <c r="M84" s="17"/>
      <c r="N84" s="27" t="str">
        <f aca="false">IF(F84=_xlfn.MINIFS($F$2:$F$948,$A$2:$A$948,$A84,$B$2:$B$948,$B84),"BEST","")</f>
        <v/>
      </c>
    </row>
    <row r="85" customFormat="false" ht="15" hidden="false" customHeight="false" outlineLevel="0" collapsed="false">
      <c r="A85" s="16" t="s">
        <v>45</v>
      </c>
      <c r="B85" s="17" t="n">
        <v>6</v>
      </c>
      <c r="C85" s="17" t="s">
        <v>67</v>
      </c>
      <c r="D85" s="16" t="s">
        <v>68</v>
      </c>
      <c r="E85" s="17" t="n">
        <v>13</v>
      </c>
      <c r="F85" s="26" t="n">
        <v>0.000950510857587683</v>
      </c>
      <c r="G85" s="17" t="n">
        <v>96</v>
      </c>
      <c r="H85" s="17" t="n">
        <v>1500</v>
      </c>
      <c r="I85" s="17"/>
      <c r="J85" s="17" t="n">
        <v>5</v>
      </c>
      <c r="K85" s="17"/>
      <c r="L85" s="17"/>
      <c r="M85" s="17"/>
      <c r="N85" s="27" t="str">
        <f aca="false">IF(F85=_xlfn.MINIFS($F$2:$F$948,$A$2:$A$948,$A85,$B$2:$B$948,$B85),"BEST","")</f>
        <v/>
      </c>
    </row>
    <row r="86" customFormat="false" ht="15" hidden="false" customHeight="false" outlineLevel="0" collapsed="false">
      <c r="A86" s="16" t="s">
        <v>45</v>
      </c>
      <c r="B86" s="17" t="n">
        <v>6</v>
      </c>
      <c r="C86" s="17" t="s">
        <v>67</v>
      </c>
      <c r="D86" s="16" t="s">
        <v>68</v>
      </c>
      <c r="E86" s="17" t="n">
        <v>14</v>
      </c>
      <c r="F86" s="26" t="n">
        <v>0.00107256445326623</v>
      </c>
      <c r="G86" s="17" t="n">
        <v>96</v>
      </c>
      <c r="H86" s="17" t="n">
        <v>1500</v>
      </c>
      <c r="I86" s="17"/>
      <c r="J86" s="17" t="n">
        <v>5</v>
      </c>
      <c r="K86" s="17"/>
      <c r="L86" s="17"/>
      <c r="M86" s="17"/>
      <c r="N86" s="27" t="str">
        <f aca="false">IF(F86=_xlfn.MINIFS($F$2:$F$948,$A$2:$A$948,$A86,$B$2:$B$948,$B86),"BEST","")</f>
        <v/>
      </c>
    </row>
    <row r="87" customFormat="false" ht="15" hidden="false" customHeight="false" outlineLevel="0" collapsed="false">
      <c r="A87" s="16" t="s">
        <v>45</v>
      </c>
      <c r="B87" s="17" t="n">
        <v>6</v>
      </c>
      <c r="C87" s="17" t="s">
        <v>67</v>
      </c>
      <c r="D87" s="16" t="s">
        <v>68</v>
      </c>
      <c r="E87" s="17" t="n">
        <v>15</v>
      </c>
      <c r="F87" s="26" t="n">
        <v>0.000978273910461043</v>
      </c>
      <c r="G87" s="17" t="n">
        <v>96</v>
      </c>
      <c r="H87" s="17" t="n">
        <v>1500</v>
      </c>
      <c r="I87" s="17"/>
      <c r="J87" s="17" t="n">
        <v>5</v>
      </c>
      <c r="K87" s="17"/>
      <c r="L87" s="17"/>
      <c r="M87" s="17"/>
      <c r="N87" s="27" t="str">
        <f aca="false">IF(F87=_xlfn.MINIFS($F$2:$F$948,$A$2:$A$948,$A87,$B$2:$B$948,$B87),"BEST","")</f>
        <v/>
      </c>
    </row>
    <row r="88" customFormat="false" ht="15" hidden="false" customHeight="false" outlineLevel="0" collapsed="false">
      <c r="A88" s="16" t="s">
        <v>45</v>
      </c>
      <c r="B88" s="17" t="n">
        <v>6</v>
      </c>
      <c r="C88" s="17" t="s">
        <v>67</v>
      </c>
      <c r="D88" s="16" t="s">
        <v>68</v>
      </c>
      <c r="E88" s="17" t="n">
        <v>16</v>
      </c>
      <c r="F88" s="26" t="n">
        <v>0.000863057955143624</v>
      </c>
      <c r="G88" s="17" t="n">
        <v>96</v>
      </c>
      <c r="H88" s="17" t="n">
        <v>1500</v>
      </c>
      <c r="I88" s="17"/>
      <c r="J88" s="17" t="n">
        <v>5</v>
      </c>
      <c r="K88" s="17"/>
      <c r="L88" s="17"/>
      <c r="M88" s="17"/>
      <c r="N88" s="27" t="str">
        <f aca="false">IF(F88=_xlfn.MINIFS($F$2:$F$948,$A$2:$A$948,$A88,$B$2:$B$948,$B88),"BEST","")</f>
        <v/>
      </c>
    </row>
    <row r="89" customFormat="false" ht="15" hidden="false" customHeight="false" outlineLevel="0" collapsed="false">
      <c r="A89" s="16" t="s">
        <v>45</v>
      </c>
      <c r="B89" s="17" t="n">
        <v>6</v>
      </c>
      <c r="C89" s="17" t="s">
        <v>67</v>
      </c>
      <c r="D89" s="16" t="s">
        <v>68</v>
      </c>
      <c r="E89" s="17" t="n">
        <v>17</v>
      </c>
      <c r="F89" s="26" t="n">
        <v>0.00129958554185452</v>
      </c>
      <c r="G89" s="17" t="n">
        <v>96</v>
      </c>
      <c r="H89" s="17" t="n">
        <v>1500</v>
      </c>
      <c r="I89" s="17"/>
      <c r="J89" s="17" t="n">
        <v>5</v>
      </c>
      <c r="K89" s="17"/>
      <c r="L89" s="17"/>
      <c r="M89" s="17"/>
      <c r="N89" s="27" t="str">
        <f aca="false">IF(F89=_xlfn.MINIFS($F$2:$F$948,$A$2:$A$948,$A89,$B$2:$B$948,$B89),"BEST","")</f>
        <v/>
      </c>
    </row>
    <row r="90" customFormat="false" ht="15" hidden="false" customHeight="false" outlineLevel="0" collapsed="false">
      <c r="A90" s="16" t="s">
        <v>45</v>
      </c>
      <c r="B90" s="17" t="n">
        <v>6</v>
      </c>
      <c r="C90" s="17" t="s">
        <v>67</v>
      </c>
      <c r="D90" s="16" t="s">
        <v>68</v>
      </c>
      <c r="E90" s="17" t="n">
        <v>18</v>
      </c>
      <c r="F90" s="26" t="n">
        <v>0.000915870086164413</v>
      </c>
      <c r="G90" s="17" t="n">
        <v>96</v>
      </c>
      <c r="H90" s="17" t="n">
        <v>1500</v>
      </c>
      <c r="I90" s="17"/>
      <c r="J90" s="17" t="n">
        <v>5</v>
      </c>
      <c r="K90" s="17"/>
      <c r="L90" s="17"/>
      <c r="M90" s="17"/>
      <c r="N90" s="27" t="str">
        <f aca="false">IF(F90=_xlfn.MINIFS($F$2:$F$948,$A$2:$A$948,$A90,$B$2:$B$948,$B90),"BEST","")</f>
        <v/>
      </c>
    </row>
    <row r="91" customFormat="false" ht="15" hidden="false" customHeight="false" outlineLevel="0" collapsed="false">
      <c r="A91" s="16" t="s">
        <v>45</v>
      </c>
      <c r="B91" s="17" t="n">
        <v>6</v>
      </c>
      <c r="C91" s="17" t="s">
        <v>67</v>
      </c>
      <c r="D91" s="16" t="s">
        <v>68</v>
      </c>
      <c r="E91" s="17" t="n">
        <v>19</v>
      </c>
      <c r="F91" s="26" t="n">
        <v>0.000760089934407385</v>
      </c>
      <c r="G91" s="17" t="n">
        <v>96</v>
      </c>
      <c r="H91" s="17" t="n">
        <v>1500</v>
      </c>
      <c r="I91" s="17"/>
      <c r="J91" s="17" t="n">
        <v>5</v>
      </c>
      <c r="K91" s="17"/>
      <c r="L91" s="17"/>
      <c r="M91" s="17"/>
      <c r="N91" s="27" t="str">
        <f aca="false">IF(F91=_xlfn.MINIFS($F$2:$F$948,$A$2:$A$948,$A91,$B$2:$B$948,$B91),"BEST","")</f>
        <v/>
      </c>
    </row>
    <row r="92" customFormat="false" ht="15" hidden="false" customHeight="false" outlineLevel="0" collapsed="false">
      <c r="A92" s="16" t="s">
        <v>45</v>
      </c>
      <c r="B92" s="17" t="n">
        <v>6</v>
      </c>
      <c r="C92" s="17" t="s">
        <v>69</v>
      </c>
      <c r="D92" s="16" t="s">
        <v>68</v>
      </c>
      <c r="E92" s="17" t="n">
        <v>0</v>
      </c>
      <c r="F92" s="26" t="n">
        <v>0.0236136938387527</v>
      </c>
      <c r="G92" s="17" t="n">
        <v>96</v>
      </c>
      <c r="H92" s="17" t="n">
        <v>1500</v>
      </c>
      <c r="I92" s="17"/>
      <c r="J92" s="17" t="n">
        <v>5</v>
      </c>
      <c r="K92" s="17"/>
      <c r="L92" s="17"/>
      <c r="M92" s="17"/>
      <c r="N92" s="27" t="str">
        <f aca="false">IF(F92=_xlfn.MINIFS($F$2:$F$948,$A$2:$A$948,$A92,$B$2:$B$948,$B92),"BEST","")</f>
        <v/>
      </c>
    </row>
    <row r="93" customFormat="false" ht="15" hidden="false" customHeight="false" outlineLevel="0" collapsed="false">
      <c r="A93" s="16" t="s">
        <v>45</v>
      </c>
      <c r="B93" s="17" t="n">
        <v>6</v>
      </c>
      <c r="C93" s="17" t="s">
        <v>69</v>
      </c>
      <c r="D93" s="16" t="s">
        <v>68</v>
      </c>
      <c r="E93" s="17" t="n">
        <v>1</v>
      </c>
      <c r="F93" s="26" t="n">
        <v>0.0187667106008426</v>
      </c>
      <c r="G93" s="17" t="n">
        <v>96</v>
      </c>
      <c r="H93" s="17" t="n">
        <v>1500</v>
      </c>
      <c r="I93" s="17"/>
      <c r="J93" s="17" t="n">
        <v>5</v>
      </c>
      <c r="K93" s="17"/>
      <c r="L93" s="17"/>
      <c r="M93" s="17"/>
      <c r="N93" s="27" t="str">
        <f aca="false">IF(F93=_xlfn.MINIFS($F$2:$F$948,$A$2:$A$948,$A93,$B$2:$B$948,$B93),"BEST","")</f>
        <v/>
      </c>
    </row>
    <row r="94" customFormat="false" ht="15" hidden="false" customHeight="false" outlineLevel="0" collapsed="false">
      <c r="A94" s="16" t="s">
        <v>45</v>
      </c>
      <c r="B94" s="17" t="n">
        <v>6</v>
      </c>
      <c r="C94" s="17" t="s">
        <v>69</v>
      </c>
      <c r="D94" s="16" t="s">
        <v>68</v>
      </c>
      <c r="E94" s="17" t="n">
        <v>2</v>
      </c>
      <c r="F94" s="26" t="n">
        <v>0.0228958707864843</v>
      </c>
      <c r="G94" s="17" t="n">
        <v>96</v>
      </c>
      <c r="H94" s="17" t="n">
        <v>1500</v>
      </c>
      <c r="I94" s="17"/>
      <c r="J94" s="17" t="n">
        <v>5</v>
      </c>
      <c r="K94" s="17"/>
      <c r="L94" s="17"/>
      <c r="M94" s="17"/>
      <c r="N94" s="27" t="str">
        <f aca="false">IF(F94=_xlfn.MINIFS($F$2:$F$948,$A$2:$A$948,$A94,$B$2:$B$948,$B94),"BEST","")</f>
        <v/>
      </c>
    </row>
    <row r="95" customFormat="false" ht="15" hidden="false" customHeight="false" outlineLevel="0" collapsed="false">
      <c r="A95" s="16" t="s">
        <v>45</v>
      </c>
      <c r="B95" s="17" t="n">
        <v>6</v>
      </c>
      <c r="C95" s="17" t="s">
        <v>69</v>
      </c>
      <c r="D95" s="16" t="s">
        <v>68</v>
      </c>
      <c r="E95" s="17" t="n">
        <v>3</v>
      </c>
      <c r="F95" s="26" t="n">
        <v>0.0129413981010428</v>
      </c>
      <c r="G95" s="17" t="n">
        <v>96</v>
      </c>
      <c r="H95" s="17" t="n">
        <v>1500</v>
      </c>
      <c r="I95" s="17"/>
      <c r="J95" s="17" t="n">
        <v>5</v>
      </c>
      <c r="K95" s="17"/>
      <c r="L95" s="17"/>
      <c r="M95" s="17"/>
      <c r="N95" s="27" t="str">
        <f aca="false">IF(F95=_xlfn.MINIFS($F$2:$F$948,$A$2:$A$948,$A95,$B$2:$B$948,$B95),"BEST","")</f>
        <v/>
      </c>
    </row>
    <row r="96" customFormat="false" ht="15" hidden="false" customHeight="false" outlineLevel="0" collapsed="false">
      <c r="A96" s="16" t="s">
        <v>45</v>
      </c>
      <c r="B96" s="17" t="n">
        <v>6</v>
      </c>
      <c r="C96" s="17" t="s">
        <v>69</v>
      </c>
      <c r="D96" s="16" t="s">
        <v>68</v>
      </c>
      <c r="E96" s="17" t="n">
        <v>4</v>
      </c>
      <c r="F96" s="26" t="n">
        <v>0.0219535575537033</v>
      </c>
      <c r="G96" s="17" t="n">
        <v>96</v>
      </c>
      <c r="H96" s="17" t="n">
        <v>1500</v>
      </c>
      <c r="I96" s="17"/>
      <c r="J96" s="17" t="n">
        <v>5</v>
      </c>
      <c r="K96" s="17"/>
      <c r="L96" s="17"/>
      <c r="M96" s="17"/>
      <c r="N96" s="27" t="str">
        <f aca="false">IF(F96=_xlfn.MINIFS($F$2:$F$948,$A$2:$A$948,$A96,$B$2:$B$948,$B96),"BEST","")</f>
        <v/>
      </c>
    </row>
    <row r="97" customFormat="false" ht="15" hidden="false" customHeight="false" outlineLevel="0" collapsed="false">
      <c r="A97" s="16" t="s">
        <v>45</v>
      </c>
      <c r="B97" s="17" t="n">
        <v>6</v>
      </c>
      <c r="C97" s="17" t="s">
        <v>69</v>
      </c>
      <c r="D97" s="16" t="s">
        <v>68</v>
      </c>
      <c r="E97" s="17" t="n">
        <v>5</v>
      </c>
      <c r="F97" s="26" t="n">
        <v>0.0182813128830965</v>
      </c>
      <c r="G97" s="17" t="n">
        <v>96</v>
      </c>
      <c r="H97" s="17" t="n">
        <v>1500</v>
      </c>
      <c r="I97" s="17"/>
      <c r="J97" s="17" t="n">
        <v>5</v>
      </c>
      <c r="K97" s="17"/>
      <c r="L97" s="17"/>
      <c r="M97" s="17"/>
      <c r="N97" s="27" t="str">
        <f aca="false">IF(F97=_xlfn.MINIFS($F$2:$F$948,$A$2:$A$948,$A97,$B$2:$B$948,$B97),"BEST","")</f>
        <v/>
      </c>
    </row>
    <row r="98" customFormat="false" ht="15" hidden="false" customHeight="false" outlineLevel="0" collapsed="false">
      <c r="A98" s="16" t="s">
        <v>45</v>
      </c>
      <c r="B98" s="17" t="n">
        <v>6</v>
      </c>
      <c r="C98" s="17" t="s">
        <v>69</v>
      </c>
      <c r="D98" s="16" t="s">
        <v>68</v>
      </c>
      <c r="E98" s="17" t="n">
        <v>6</v>
      </c>
      <c r="F98" s="26" t="n">
        <v>0.0181053415340788</v>
      </c>
      <c r="G98" s="17" t="n">
        <v>96</v>
      </c>
      <c r="H98" s="17" t="n">
        <v>1500</v>
      </c>
      <c r="I98" s="17"/>
      <c r="J98" s="17" t="n">
        <v>5</v>
      </c>
      <c r="K98" s="17"/>
      <c r="L98" s="17"/>
      <c r="M98" s="17"/>
      <c r="N98" s="27" t="str">
        <f aca="false">IF(F98=_xlfn.MINIFS($F$2:$F$948,$A$2:$A$948,$A98,$B$2:$B$948,$B98),"BEST","")</f>
        <v/>
      </c>
    </row>
    <row r="99" customFormat="false" ht="15" hidden="false" customHeight="false" outlineLevel="0" collapsed="false">
      <c r="A99" s="16" t="s">
        <v>45</v>
      </c>
      <c r="B99" s="17" t="n">
        <v>6</v>
      </c>
      <c r="C99" s="17" t="s">
        <v>69</v>
      </c>
      <c r="D99" s="16" t="s">
        <v>68</v>
      </c>
      <c r="E99" s="17" t="n">
        <v>7</v>
      </c>
      <c r="F99" s="26" t="n">
        <v>0.0147001818387237</v>
      </c>
      <c r="G99" s="17" t="n">
        <v>96</v>
      </c>
      <c r="H99" s="17" t="n">
        <v>1500</v>
      </c>
      <c r="I99" s="17"/>
      <c r="J99" s="17" t="n">
        <v>5</v>
      </c>
      <c r="K99" s="17"/>
      <c r="L99" s="17"/>
      <c r="M99" s="17"/>
      <c r="N99" s="27" t="str">
        <f aca="false">IF(F99=_xlfn.MINIFS($F$2:$F$948,$A$2:$A$948,$A99,$B$2:$B$948,$B99),"BEST","")</f>
        <v/>
      </c>
    </row>
    <row r="100" customFormat="false" ht="15" hidden="false" customHeight="false" outlineLevel="0" collapsed="false">
      <c r="A100" s="16" t="s">
        <v>45</v>
      </c>
      <c r="B100" s="17" t="n">
        <v>6</v>
      </c>
      <c r="C100" s="17" t="s">
        <v>69</v>
      </c>
      <c r="D100" s="16" t="s">
        <v>68</v>
      </c>
      <c r="E100" s="17" t="n">
        <v>8</v>
      </c>
      <c r="F100" s="26" t="n">
        <v>0.0159456013573069</v>
      </c>
      <c r="G100" s="17" t="n">
        <v>96</v>
      </c>
      <c r="H100" s="17" t="n">
        <v>1500</v>
      </c>
      <c r="I100" s="17"/>
      <c r="J100" s="17" t="n">
        <v>5</v>
      </c>
      <c r="K100" s="17"/>
      <c r="L100" s="17"/>
      <c r="M100" s="17"/>
      <c r="N100" s="27" t="str">
        <f aca="false">IF(F100=_xlfn.MINIFS($F$2:$F$948,$A$2:$A$948,$A100,$B$2:$B$948,$B100),"BEST","")</f>
        <v/>
      </c>
    </row>
    <row r="101" customFormat="false" ht="15" hidden="false" customHeight="false" outlineLevel="0" collapsed="false">
      <c r="A101" s="16" t="s">
        <v>45</v>
      </c>
      <c r="B101" s="17" t="n">
        <v>6</v>
      </c>
      <c r="C101" s="17" t="s">
        <v>69</v>
      </c>
      <c r="D101" s="16" t="s">
        <v>68</v>
      </c>
      <c r="E101" s="17" t="n">
        <v>9</v>
      </c>
      <c r="F101" s="26" t="n">
        <v>0.0159266576213815</v>
      </c>
      <c r="G101" s="17" t="n">
        <v>96</v>
      </c>
      <c r="H101" s="17" t="n">
        <v>1500</v>
      </c>
      <c r="I101" s="17"/>
      <c r="J101" s="17" t="n">
        <v>5</v>
      </c>
      <c r="K101" s="17"/>
      <c r="L101" s="17"/>
      <c r="M101" s="17"/>
      <c r="N101" s="27" t="str">
        <f aca="false">IF(F101=_xlfn.MINIFS($F$2:$F$948,$A$2:$A$948,$A101,$B$2:$B$948,$B101),"BEST","")</f>
        <v/>
      </c>
    </row>
    <row r="102" customFormat="false" ht="15" hidden="false" customHeight="false" outlineLevel="0" collapsed="false">
      <c r="A102" s="16" t="s">
        <v>45</v>
      </c>
      <c r="B102" s="17" t="n">
        <v>6</v>
      </c>
      <c r="C102" s="17" t="s">
        <v>69</v>
      </c>
      <c r="D102" s="16" t="s">
        <v>68</v>
      </c>
      <c r="E102" s="17" t="n">
        <v>10</v>
      </c>
      <c r="F102" s="26" t="n">
        <v>0.0144756506907951</v>
      </c>
      <c r="G102" s="17" t="n">
        <v>96</v>
      </c>
      <c r="H102" s="17" t="n">
        <v>1500</v>
      </c>
      <c r="I102" s="17"/>
      <c r="J102" s="17" t="n">
        <v>5</v>
      </c>
      <c r="K102" s="17"/>
      <c r="L102" s="17"/>
      <c r="M102" s="17"/>
      <c r="N102" s="27" t="str">
        <f aca="false">IF(F102=_xlfn.MINIFS($F$2:$F$948,$A$2:$A$948,$A102,$B$2:$B$948,$B102),"BEST","")</f>
        <v/>
      </c>
    </row>
    <row r="103" customFormat="false" ht="15" hidden="false" customHeight="false" outlineLevel="0" collapsed="false">
      <c r="A103" s="16" t="s">
        <v>45</v>
      </c>
      <c r="B103" s="17" t="n">
        <v>6</v>
      </c>
      <c r="C103" s="17" t="s">
        <v>69</v>
      </c>
      <c r="D103" s="16" t="s">
        <v>68</v>
      </c>
      <c r="E103" s="17" t="n">
        <v>11</v>
      </c>
      <c r="F103" s="26" t="n">
        <v>0.0164773084709209</v>
      </c>
      <c r="G103" s="17" t="n">
        <v>96</v>
      </c>
      <c r="H103" s="17" t="n">
        <v>1500</v>
      </c>
      <c r="I103" s="17"/>
      <c r="J103" s="17" t="n">
        <v>5</v>
      </c>
      <c r="K103" s="17"/>
      <c r="L103" s="17"/>
      <c r="M103" s="17"/>
      <c r="N103" s="27" t="str">
        <f aca="false">IF(F103=_xlfn.MINIFS($F$2:$F$948,$A$2:$A$948,$A103,$B$2:$B$948,$B103),"BEST","")</f>
        <v/>
      </c>
    </row>
    <row r="104" customFormat="false" ht="15" hidden="false" customHeight="false" outlineLevel="0" collapsed="false">
      <c r="A104" s="16" t="s">
        <v>45</v>
      </c>
      <c r="B104" s="17" t="n">
        <v>6</v>
      </c>
      <c r="C104" s="17" t="s">
        <v>69</v>
      </c>
      <c r="D104" s="16" t="s">
        <v>68</v>
      </c>
      <c r="E104" s="17" t="n">
        <v>12</v>
      </c>
      <c r="F104" s="26" t="n">
        <v>0.0216038510663799</v>
      </c>
      <c r="G104" s="17" t="n">
        <v>96</v>
      </c>
      <c r="H104" s="17" t="n">
        <v>1500</v>
      </c>
      <c r="I104" s="17"/>
      <c r="J104" s="17" t="n">
        <v>5</v>
      </c>
      <c r="K104" s="17"/>
      <c r="L104" s="17"/>
      <c r="M104" s="17"/>
      <c r="N104" s="27" t="str">
        <f aca="false">IF(F104=_xlfn.MINIFS($F$2:$F$948,$A$2:$A$948,$A104,$B$2:$B$948,$B104),"BEST","")</f>
        <v/>
      </c>
    </row>
    <row r="105" customFormat="false" ht="15" hidden="false" customHeight="false" outlineLevel="0" collapsed="false">
      <c r="A105" s="16" t="s">
        <v>45</v>
      </c>
      <c r="B105" s="17" t="n">
        <v>6</v>
      </c>
      <c r="C105" s="17" t="s">
        <v>69</v>
      </c>
      <c r="D105" s="16" t="s">
        <v>68</v>
      </c>
      <c r="E105" s="17" t="n">
        <v>13</v>
      </c>
      <c r="F105" s="26" t="n">
        <v>0.0244738065834666</v>
      </c>
      <c r="G105" s="17" t="n">
        <v>96</v>
      </c>
      <c r="H105" s="17" t="n">
        <v>1500</v>
      </c>
      <c r="I105" s="17"/>
      <c r="J105" s="17" t="n">
        <v>5</v>
      </c>
      <c r="K105" s="17"/>
      <c r="L105" s="17"/>
      <c r="M105" s="17"/>
      <c r="N105" s="27" t="str">
        <f aca="false">IF(F105=_xlfn.MINIFS($F$2:$F$948,$A$2:$A$948,$A105,$B$2:$B$948,$B105),"BEST","")</f>
        <v/>
      </c>
    </row>
    <row r="106" customFormat="false" ht="15" hidden="false" customHeight="false" outlineLevel="0" collapsed="false">
      <c r="A106" s="16" t="s">
        <v>45</v>
      </c>
      <c r="B106" s="17" t="n">
        <v>6</v>
      </c>
      <c r="C106" s="17" t="s">
        <v>69</v>
      </c>
      <c r="D106" s="16" t="s">
        <v>68</v>
      </c>
      <c r="E106" s="17" t="n">
        <v>14</v>
      </c>
      <c r="F106" s="26" t="n">
        <v>0.0200668033950019</v>
      </c>
      <c r="G106" s="17" t="n">
        <v>96</v>
      </c>
      <c r="H106" s="17" t="n">
        <v>1500</v>
      </c>
      <c r="I106" s="17"/>
      <c r="J106" s="17" t="n">
        <v>5</v>
      </c>
      <c r="K106" s="17"/>
      <c r="L106" s="17"/>
      <c r="M106" s="17"/>
      <c r="N106" s="27" t="str">
        <f aca="false">IF(F106=_xlfn.MINIFS($F$2:$F$948,$A$2:$A$948,$A106,$B$2:$B$948,$B106),"BEST","")</f>
        <v/>
      </c>
    </row>
    <row r="107" customFormat="false" ht="15" hidden="false" customHeight="false" outlineLevel="0" collapsed="false">
      <c r="A107" s="16" t="s">
        <v>45</v>
      </c>
      <c r="B107" s="17" t="n">
        <v>6</v>
      </c>
      <c r="C107" s="17" t="s">
        <v>69</v>
      </c>
      <c r="D107" s="16" t="s">
        <v>68</v>
      </c>
      <c r="E107" s="17" t="n">
        <v>15</v>
      </c>
      <c r="F107" s="26" t="n">
        <v>0.0269063572327546</v>
      </c>
      <c r="G107" s="17" t="n">
        <v>96</v>
      </c>
      <c r="H107" s="17" t="n">
        <v>1500</v>
      </c>
      <c r="I107" s="17"/>
      <c r="J107" s="17" t="n">
        <v>5</v>
      </c>
      <c r="K107" s="17"/>
      <c r="L107" s="17"/>
      <c r="M107" s="17"/>
      <c r="N107" s="27" t="str">
        <f aca="false">IF(F107=_xlfn.MINIFS($F$2:$F$948,$A$2:$A$948,$A107,$B$2:$B$948,$B107),"BEST","")</f>
        <v/>
      </c>
    </row>
    <row r="108" customFormat="false" ht="15" hidden="false" customHeight="false" outlineLevel="0" collapsed="false">
      <c r="A108" s="16" t="s">
        <v>45</v>
      </c>
      <c r="B108" s="17" t="n">
        <v>6</v>
      </c>
      <c r="C108" s="17" t="s">
        <v>69</v>
      </c>
      <c r="D108" s="16" t="s">
        <v>68</v>
      </c>
      <c r="E108" s="17" t="n">
        <v>16</v>
      </c>
      <c r="F108" s="26" t="n">
        <v>0.0142030806808704</v>
      </c>
      <c r="G108" s="17" t="n">
        <v>96</v>
      </c>
      <c r="H108" s="17" t="n">
        <v>1500</v>
      </c>
      <c r="I108" s="17"/>
      <c r="J108" s="17" t="n">
        <v>5</v>
      </c>
      <c r="K108" s="17"/>
      <c r="L108" s="17"/>
      <c r="M108" s="17"/>
      <c r="N108" s="27" t="str">
        <f aca="false">IF(F108=_xlfn.MINIFS($F$2:$F$948,$A$2:$A$948,$A108,$B$2:$B$948,$B108),"BEST","")</f>
        <v/>
      </c>
    </row>
    <row r="109" customFormat="false" ht="15" hidden="false" customHeight="false" outlineLevel="0" collapsed="false">
      <c r="A109" s="16" t="s">
        <v>45</v>
      </c>
      <c r="B109" s="17" t="n">
        <v>6</v>
      </c>
      <c r="C109" s="17" t="s">
        <v>69</v>
      </c>
      <c r="D109" s="16" t="s">
        <v>68</v>
      </c>
      <c r="E109" s="17" t="n">
        <v>17</v>
      </c>
      <c r="F109" s="26" t="n">
        <v>0.017979938372583</v>
      </c>
      <c r="G109" s="17" t="n">
        <v>96</v>
      </c>
      <c r="H109" s="17" t="n">
        <v>1500</v>
      </c>
      <c r="I109" s="17"/>
      <c r="J109" s="17" t="n">
        <v>5</v>
      </c>
      <c r="K109" s="17"/>
      <c r="L109" s="17"/>
      <c r="M109" s="17"/>
      <c r="N109" s="27" t="str">
        <f aca="false">IF(F109=_xlfn.MINIFS($F$2:$F$948,$A$2:$A$948,$A109,$B$2:$B$948,$B109),"BEST","")</f>
        <v/>
      </c>
    </row>
    <row r="110" customFormat="false" ht="15" hidden="false" customHeight="false" outlineLevel="0" collapsed="false">
      <c r="A110" s="16" t="s">
        <v>45</v>
      </c>
      <c r="B110" s="17" t="n">
        <v>6</v>
      </c>
      <c r="C110" s="17" t="s">
        <v>69</v>
      </c>
      <c r="D110" s="16" t="s">
        <v>68</v>
      </c>
      <c r="E110" s="17" t="n">
        <v>18</v>
      </c>
      <c r="F110" s="26" t="n">
        <v>0.0261393802656372</v>
      </c>
      <c r="G110" s="17" t="n">
        <v>96</v>
      </c>
      <c r="H110" s="17" t="n">
        <v>1500</v>
      </c>
      <c r="I110" s="17"/>
      <c r="J110" s="17" t="n">
        <v>5</v>
      </c>
      <c r="K110" s="17"/>
      <c r="L110" s="17"/>
      <c r="M110" s="17"/>
      <c r="N110" s="27" t="str">
        <f aca="false">IF(F110=_xlfn.MINIFS($F$2:$F$948,$A$2:$A$948,$A110,$B$2:$B$948,$B110),"BEST","")</f>
        <v/>
      </c>
    </row>
    <row r="111" customFormat="false" ht="15" hidden="false" customHeight="false" outlineLevel="0" collapsed="false">
      <c r="A111" s="16" t="s">
        <v>45</v>
      </c>
      <c r="B111" s="17" t="n">
        <v>6</v>
      </c>
      <c r="C111" s="17" t="s">
        <v>69</v>
      </c>
      <c r="D111" s="16" t="s">
        <v>68</v>
      </c>
      <c r="E111" s="17" t="n">
        <v>19</v>
      </c>
      <c r="F111" s="26" t="n">
        <v>0.0143990382838397</v>
      </c>
      <c r="G111" s="17" t="n">
        <v>96</v>
      </c>
      <c r="H111" s="17" t="n">
        <v>1500</v>
      </c>
      <c r="I111" s="17"/>
      <c r="J111" s="17" t="n">
        <v>5</v>
      </c>
      <c r="K111" s="17"/>
      <c r="L111" s="17"/>
      <c r="M111" s="17"/>
      <c r="N111" s="27" t="str">
        <f aca="false">IF(F111=_xlfn.MINIFS($F$2:$F$948,$A$2:$A$948,$A111,$B$2:$B$948,$B111),"BEST","")</f>
        <v/>
      </c>
    </row>
    <row r="112" customFormat="false" ht="15" hidden="false" customHeight="false" outlineLevel="0" collapsed="false">
      <c r="A112" s="16" t="s">
        <v>45</v>
      </c>
      <c r="B112" s="17" t="n">
        <v>6</v>
      </c>
      <c r="C112" s="17" t="s">
        <v>70</v>
      </c>
      <c r="D112" s="16" t="s">
        <v>68</v>
      </c>
      <c r="E112" s="17" t="n">
        <v>0</v>
      </c>
      <c r="F112" s="26" t="n">
        <v>1.5867011999559E-006</v>
      </c>
      <c r="G112" s="17" t="n">
        <v>21</v>
      </c>
      <c r="H112" s="17" t="n">
        <v>1500</v>
      </c>
      <c r="I112" s="17"/>
      <c r="J112" s="17" t="n">
        <v>5</v>
      </c>
      <c r="K112" s="17"/>
      <c r="L112" s="17"/>
      <c r="M112" s="17" t="n">
        <v>2</v>
      </c>
      <c r="N112" s="27" t="str">
        <f aca="false">IF(F112=_xlfn.MINIFS($F$2:$F$948,$A$2:$A$948,$A112,$B$2:$B$948,$B112),"BEST","")</f>
        <v>BEST</v>
      </c>
    </row>
    <row r="113" customFormat="false" ht="15" hidden="false" customHeight="false" outlineLevel="0" collapsed="false">
      <c r="A113" s="16" t="s">
        <v>45</v>
      </c>
      <c r="B113" s="17" t="n">
        <v>6</v>
      </c>
      <c r="C113" s="17" t="s">
        <v>70</v>
      </c>
      <c r="D113" s="16" t="s">
        <v>68</v>
      </c>
      <c r="E113" s="17" t="n">
        <v>1</v>
      </c>
      <c r="F113" s="26" t="n">
        <v>1.5867011999559E-006</v>
      </c>
      <c r="G113" s="17" t="n">
        <v>21</v>
      </c>
      <c r="H113" s="17" t="n">
        <v>1500</v>
      </c>
      <c r="I113" s="17"/>
      <c r="J113" s="17" t="n">
        <v>5</v>
      </c>
      <c r="K113" s="17"/>
      <c r="L113" s="17"/>
      <c r="M113" s="17" t="n">
        <v>2</v>
      </c>
      <c r="N113" s="27" t="str">
        <f aca="false">IF(F113=_xlfn.MINIFS($F$2:$F$948,$A$2:$A$948,$A113,$B$2:$B$948,$B113),"BEST","")</f>
        <v>BEST</v>
      </c>
    </row>
    <row r="114" customFormat="false" ht="15" hidden="false" customHeight="false" outlineLevel="0" collapsed="false">
      <c r="A114" s="16" t="s">
        <v>45</v>
      </c>
      <c r="B114" s="17" t="n">
        <v>6</v>
      </c>
      <c r="C114" s="17" t="s">
        <v>70</v>
      </c>
      <c r="D114" s="16" t="s">
        <v>68</v>
      </c>
      <c r="E114" s="17" t="n">
        <v>2</v>
      </c>
      <c r="F114" s="26" t="n">
        <v>1.5867011999559E-006</v>
      </c>
      <c r="G114" s="17" t="n">
        <v>21</v>
      </c>
      <c r="H114" s="17" t="n">
        <v>1500</v>
      </c>
      <c r="I114" s="17"/>
      <c r="J114" s="17" t="n">
        <v>5</v>
      </c>
      <c r="K114" s="17"/>
      <c r="L114" s="17"/>
      <c r="M114" s="17" t="n">
        <v>2</v>
      </c>
      <c r="N114" s="27" t="str">
        <f aca="false">IF(F114=_xlfn.MINIFS($F$2:$F$948,$A$2:$A$948,$A114,$B$2:$B$948,$B114),"BEST","")</f>
        <v>BEST</v>
      </c>
    </row>
    <row r="115" customFormat="false" ht="15" hidden="false" customHeight="false" outlineLevel="0" collapsed="false">
      <c r="A115" s="16" t="s">
        <v>45</v>
      </c>
      <c r="B115" s="17" t="n">
        <v>6</v>
      </c>
      <c r="C115" s="17" t="s">
        <v>70</v>
      </c>
      <c r="D115" s="16" t="s">
        <v>68</v>
      </c>
      <c r="E115" s="17" t="n">
        <v>3</v>
      </c>
      <c r="F115" s="26" t="n">
        <v>1.5867011999559E-006</v>
      </c>
      <c r="G115" s="17" t="n">
        <v>21</v>
      </c>
      <c r="H115" s="17" t="n">
        <v>1500</v>
      </c>
      <c r="I115" s="17"/>
      <c r="J115" s="17" t="n">
        <v>5</v>
      </c>
      <c r="K115" s="17"/>
      <c r="L115" s="17"/>
      <c r="M115" s="17" t="n">
        <v>2</v>
      </c>
      <c r="N115" s="27" t="str">
        <f aca="false">IF(F115=_xlfn.MINIFS($F$2:$F$948,$A$2:$A$948,$A115,$B$2:$B$948,$B115),"BEST","")</f>
        <v>BEST</v>
      </c>
    </row>
    <row r="116" customFormat="false" ht="15" hidden="false" customHeight="false" outlineLevel="0" collapsed="false">
      <c r="A116" s="16" t="s">
        <v>45</v>
      </c>
      <c r="B116" s="17" t="n">
        <v>6</v>
      </c>
      <c r="C116" s="17" t="s">
        <v>70</v>
      </c>
      <c r="D116" s="16" t="s">
        <v>68</v>
      </c>
      <c r="E116" s="17" t="n">
        <v>4</v>
      </c>
      <c r="F116" s="26" t="n">
        <v>1.5867011999559E-006</v>
      </c>
      <c r="G116" s="17" t="n">
        <v>21</v>
      </c>
      <c r="H116" s="17" t="n">
        <v>1500</v>
      </c>
      <c r="I116" s="17"/>
      <c r="J116" s="17" t="n">
        <v>5</v>
      </c>
      <c r="K116" s="17"/>
      <c r="L116" s="17"/>
      <c r="M116" s="17" t="n">
        <v>2</v>
      </c>
      <c r="N116" s="27" t="str">
        <f aca="false">IF(F116=_xlfn.MINIFS($F$2:$F$948,$A$2:$A$948,$A116,$B$2:$B$948,$B116),"BEST","")</f>
        <v>BEST</v>
      </c>
    </row>
    <row r="117" customFormat="false" ht="15" hidden="false" customHeight="false" outlineLevel="0" collapsed="false">
      <c r="A117" s="16" t="s">
        <v>45</v>
      </c>
      <c r="B117" s="17" t="n">
        <v>6</v>
      </c>
      <c r="C117" s="17" t="s">
        <v>70</v>
      </c>
      <c r="D117" s="16" t="s">
        <v>68</v>
      </c>
      <c r="E117" s="17" t="n">
        <v>5</v>
      </c>
      <c r="F117" s="26" t="n">
        <v>1.5867011999559E-006</v>
      </c>
      <c r="G117" s="17" t="n">
        <v>21</v>
      </c>
      <c r="H117" s="17" t="n">
        <v>1500</v>
      </c>
      <c r="I117" s="17"/>
      <c r="J117" s="17" t="n">
        <v>5</v>
      </c>
      <c r="K117" s="17"/>
      <c r="L117" s="17"/>
      <c r="M117" s="17" t="n">
        <v>2</v>
      </c>
      <c r="N117" s="27" t="str">
        <f aca="false">IF(F117=_xlfn.MINIFS($F$2:$F$948,$A$2:$A$948,$A117,$B$2:$B$948,$B117),"BEST","")</f>
        <v>BEST</v>
      </c>
    </row>
    <row r="118" customFormat="false" ht="15" hidden="false" customHeight="false" outlineLevel="0" collapsed="false">
      <c r="A118" s="16" t="s">
        <v>45</v>
      </c>
      <c r="B118" s="17" t="n">
        <v>6</v>
      </c>
      <c r="C118" s="17" t="s">
        <v>70</v>
      </c>
      <c r="D118" s="16" t="s">
        <v>68</v>
      </c>
      <c r="E118" s="17" t="n">
        <v>6</v>
      </c>
      <c r="F118" s="26" t="n">
        <v>1.5867011999559E-006</v>
      </c>
      <c r="G118" s="17" t="n">
        <v>21</v>
      </c>
      <c r="H118" s="17" t="n">
        <v>1500</v>
      </c>
      <c r="I118" s="17"/>
      <c r="J118" s="17" t="n">
        <v>5</v>
      </c>
      <c r="K118" s="17"/>
      <c r="L118" s="17"/>
      <c r="M118" s="17" t="n">
        <v>2</v>
      </c>
      <c r="N118" s="27" t="str">
        <f aca="false">IF(F118=_xlfn.MINIFS($F$2:$F$948,$A$2:$A$948,$A118,$B$2:$B$948,$B118),"BEST","")</f>
        <v>BEST</v>
      </c>
    </row>
    <row r="119" customFormat="false" ht="15" hidden="false" customHeight="false" outlineLevel="0" collapsed="false">
      <c r="A119" s="16" t="s">
        <v>45</v>
      </c>
      <c r="B119" s="17" t="n">
        <v>6</v>
      </c>
      <c r="C119" s="17" t="s">
        <v>70</v>
      </c>
      <c r="D119" s="16" t="s">
        <v>68</v>
      </c>
      <c r="E119" s="17" t="n">
        <v>7</v>
      </c>
      <c r="F119" s="26" t="n">
        <v>1.5867011999559E-006</v>
      </c>
      <c r="G119" s="17" t="n">
        <v>21</v>
      </c>
      <c r="H119" s="17" t="n">
        <v>1500</v>
      </c>
      <c r="I119" s="17"/>
      <c r="J119" s="17" t="n">
        <v>5</v>
      </c>
      <c r="K119" s="17"/>
      <c r="L119" s="17"/>
      <c r="M119" s="17" t="n">
        <v>2</v>
      </c>
      <c r="N119" s="27" t="str">
        <f aca="false">IF(F119=_xlfn.MINIFS($F$2:$F$948,$A$2:$A$948,$A119,$B$2:$B$948,$B119),"BEST","")</f>
        <v>BEST</v>
      </c>
    </row>
    <row r="120" customFormat="false" ht="15" hidden="false" customHeight="false" outlineLevel="0" collapsed="false">
      <c r="A120" s="16" t="s">
        <v>45</v>
      </c>
      <c r="B120" s="17" t="n">
        <v>6</v>
      </c>
      <c r="C120" s="17" t="s">
        <v>70</v>
      </c>
      <c r="D120" s="16" t="s">
        <v>68</v>
      </c>
      <c r="E120" s="17" t="n">
        <v>8</v>
      </c>
      <c r="F120" s="26" t="n">
        <v>1.5867011999559E-006</v>
      </c>
      <c r="G120" s="17" t="n">
        <v>21</v>
      </c>
      <c r="H120" s="17" t="n">
        <v>1500</v>
      </c>
      <c r="I120" s="17"/>
      <c r="J120" s="17" t="n">
        <v>5</v>
      </c>
      <c r="K120" s="17"/>
      <c r="L120" s="17"/>
      <c r="M120" s="17" t="n">
        <v>2</v>
      </c>
      <c r="N120" s="27" t="str">
        <f aca="false">IF(F120=_xlfn.MINIFS($F$2:$F$948,$A$2:$A$948,$A120,$B$2:$B$948,$B120),"BEST","")</f>
        <v>BEST</v>
      </c>
    </row>
    <row r="121" customFormat="false" ht="15" hidden="false" customHeight="false" outlineLevel="0" collapsed="false">
      <c r="A121" s="16" t="s">
        <v>45</v>
      </c>
      <c r="B121" s="17" t="n">
        <v>6</v>
      </c>
      <c r="C121" s="17" t="s">
        <v>70</v>
      </c>
      <c r="D121" s="16" t="s">
        <v>68</v>
      </c>
      <c r="E121" s="17" t="n">
        <v>9</v>
      </c>
      <c r="F121" s="26" t="n">
        <v>1.5867011999559E-006</v>
      </c>
      <c r="G121" s="17" t="n">
        <v>21</v>
      </c>
      <c r="H121" s="17" t="n">
        <v>1500</v>
      </c>
      <c r="I121" s="17"/>
      <c r="J121" s="17" t="n">
        <v>5</v>
      </c>
      <c r="K121" s="17"/>
      <c r="L121" s="17"/>
      <c r="M121" s="17" t="n">
        <v>2</v>
      </c>
      <c r="N121" s="27" t="str">
        <f aca="false">IF(F121=_xlfn.MINIFS($F$2:$F$948,$A$2:$A$948,$A121,$B$2:$B$948,$B121),"BEST","")</f>
        <v>BEST</v>
      </c>
    </row>
    <row r="122" customFormat="false" ht="15" hidden="false" customHeight="false" outlineLevel="0" collapsed="false">
      <c r="A122" s="16" t="s">
        <v>45</v>
      </c>
      <c r="B122" s="17" t="n">
        <v>6</v>
      </c>
      <c r="C122" s="17" t="s">
        <v>70</v>
      </c>
      <c r="D122" s="16" t="s">
        <v>68</v>
      </c>
      <c r="E122" s="17" t="n">
        <v>10</v>
      </c>
      <c r="F122" s="26" t="n">
        <v>1.5867011999559E-006</v>
      </c>
      <c r="G122" s="17" t="n">
        <v>21</v>
      </c>
      <c r="H122" s="17" t="n">
        <v>1500</v>
      </c>
      <c r="I122" s="17"/>
      <c r="J122" s="17" t="n">
        <v>5</v>
      </c>
      <c r="K122" s="17"/>
      <c r="L122" s="17"/>
      <c r="M122" s="17" t="n">
        <v>2</v>
      </c>
      <c r="N122" s="27" t="str">
        <f aca="false">IF(F122=_xlfn.MINIFS($F$2:$F$948,$A$2:$A$948,$A122,$B$2:$B$948,$B122),"BEST","")</f>
        <v>BEST</v>
      </c>
    </row>
    <row r="123" customFormat="false" ht="15" hidden="false" customHeight="false" outlineLevel="0" collapsed="false">
      <c r="A123" s="16" t="s">
        <v>45</v>
      </c>
      <c r="B123" s="17" t="n">
        <v>6</v>
      </c>
      <c r="C123" s="17" t="s">
        <v>70</v>
      </c>
      <c r="D123" s="16" t="s">
        <v>68</v>
      </c>
      <c r="E123" s="17" t="n">
        <v>11</v>
      </c>
      <c r="F123" s="26" t="n">
        <v>1.5867011999559E-006</v>
      </c>
      <c r="G123" s="17" t="n">
        <v>21</v>
      </c>
      <c r="H123" s="17" t="n">
        <v>1500</v>
      </c>
      <c r="I123" s="17"/>
      <c r="J123" s="17" t="n">
        <v>5</v>
      </c>
      <c r="K123" s="17"/>
      <c r="L123" s="17"/>
      <c r="M123" s="17" t="n">
        <v>2</v>
      </c>
      <c r="N123" s="27" t="str">
        <f aca="false">IF(F123=_xlfn.MINIFS($F$2:$F$948,$A$2:$A$948,$A123,$B$2:$B$948,$B123),"BEST","")</f>
        <v>BEST</v>
      </c>
    </row>
    <row r="124" customFormat="false" ht="15" hidden="false" customHeight="false" outlineLevel="0" collapsed="false">
      <c r="A124" s="16" t="s">
        <v>45</v>
      </c>
      <c r="B124" s="17" t="n">
        <v>6</v>
      </c>
      <c r="C124" s="17" t="s">
        <v>70</v>
      </c>
      <c r="D124" s="16" t="s">
        <v>68</v>
      </c>
      <c r="E124" s="17" t="n">
        <v>12</v>
      </c>
      <c r="F124" s="26" t="n">
        <v>1.5867011999559E-006</v>
      </c>
      <c r="G124" s="17" t="n">
        <v>21</v>
      </c>
      <c r="H124" s="17" t="n">
        <v>1500</v>
      </c>
      <c r="I124" s="17"/>
      <c r="J124" s="17" t="n">
        <v>5</v>
      </c>
      <c r="K124" s="17"/>
      <c r="L124" s="17"/>
      <c r="M124" s="17" t="n">
        <v>2</v>
      </c>
      <c r="N124" s="27" t="str">
        <f aca="false">IF(F124=_xlfn.MINIFS($F$2:$F$948,$A$2:$A$948,$A124,$B$2:$B$948,$B124),"BEST","")</f>
        <v>BEST</v>
      </c>
    </row>
    <row r="125" customFormat="false" ht="15" hidden="false" customHeight="false" outlineLevel="0" collapsed="false">
      <c r="A125" s="16" t="s">
        <v>45</v>
      </c>
      <c r="B125" s="17" t="n">
        <v>6</v>
      </c>
      <c r="C125" s="17" t="s">
        <v>70</v>
      </c>
      <c r="D125" s="16" t="s">
        <v>68</v>
      </c>
      <c r="E125" s="17" t="n">
        <v>13</v>
      </c>
      <c r="F125" s="26" t="n">
        <v>1.5867011999559E-006</v>
      </c>
      <c r="G125" s="17" t="n">
        <v>21</v>
      </c>
      <c r="H125" s="17" t="n">
        <v>1500</v>
      </c>
      <c r="I125" s="17"/>
      <c r="J125" s="17" t="n">
        <v>5</v>
      </c>
      <c r="K125" s="17"/>
      <c r="L125" s="17"/>
      <c r="M125" s="17" t="n">
        <v>2</v>
      </c>
      <c r="N125" s="27" t="str">
        <f aca="false">IF(F125=_xlfn.MINIFS($F$2:$F$948,$A$2:$A$948,$A125,$B$2:$B$948,$B125),"BEST","")</f>
        <v>BEST</v>
      </c>
    </row>
    <row r="126" customFormat="false" ht="15" hidden="false" customHeight="false" outlineLevel="0" collapsed="false">
      <c r="A126" s="16" t="s">
        <v>45</v>
      </c>
      <c r="B126" s="17" t="n">
        <v>6</v>
      </c>
      <c r="C126" s="17" t="s">
        <v>70</v>
      </c>
      <c r="D126" s="16" t="s">
        <v>68</v>
      </c>
      <c r="E126" s="17" t="n">
        <v>14</v>
      </c>
      <c r="F126" s="26" t="n">
        <v>1.5867011999559E-006</v>
      </c>
      <c r="G126" s="17" t="n">
        <v>21</v>
      </c>
      <c r="H126" s="17" t="n">
        <v>1500</v>
      </c>
      <c r="I126" s="17"/>
      <c r="J126" s="17" t="n">
        <v>5</v>
      </c>
      <c r="K126" s="17"/>
      <c r="L126" s="17"/>
      <c r="M126" s="17" t="n">
        <v>2</v>
      </c>
      <c r="N126" s="27" t="str">
        <f aca="false">IF(F126=_xlfn.MINIFS($F$2:$F$948,$A$2:$A$948,$A126,$B$2:$B$948,$B126),"BEST","")</f>
        <v>BEST</v>
      </c>
    </row>
    <row r="127" customFormat="false" ht="15" hidden="false" customHeight="false" outlineLevel="0" collapsed="false">
      <c r="A127" s="16" t="s">
        <v>45</v>
      </c>
      <c r="B127" s="17" t="n">
        <v>6</v>
      </c>
      <c r="C127" s="17" t="s">
        <v>70</v>
      </c>
      <c r="D127" s="16" t="s">
        <v>68</v>
      </c>
      <c r="E127" s="17" t="n">
        <v>15</v>
      </c>
      <c r="F127" s="26" t="n">
        <v>1.5867011999559E-006</v>
      </c>
      <c r="G127" s="17" t="n">
        <v>21</v>
      </c>
      <c r="H127" s="17" t="n">
        <v>1500</v>
      </c>
      <c r="I127" s="17"/>
      <c r="J127" s="17" t="n">
        <v>5</v>
      </c>
      <c r="K127" s="17"/>
      <c r="L127" s="17"/>
      <c r="M127" s="17" t="n">
        <v>2</v>
      </c>
      <c r="N127" s="27" t="str">
        <f aca="false">IF(F127=_xlfn.MINIFS($F$2:$F$948,$A$2:$A$948,$A127,$B$2:$B$948,$B127),"BEST","")</f>
        <v>BEST</v>
      </c>
    </row>
    <row r="128" customFormat="false" ht="15" hidden="false" customHeight="false" outlineLevel="0" collapsed="false">
      <c r="A128" s="16" t="s">
        <v>45</v>
      </c>
      <c r="B128" s="17" t="n">
        <v>6</v>
      </c>
      <c r="C128" s="17" t="s">
        <v>70</v>
      </c>
      <c r="D128" s="16" t="s">
        <v>68</v>
      </c>
      <c r="E128" s="17" t="n">
        <v>16</v>
      </c>
      <c r="F128" s="26" t="n">
        <v>1.5867011999559E-006</v>
      </c>
      <c r="G128" s="17" t="n">
        <v>21</v>
      </c>
      <c r="H128" s="17" t="n">
        <v>1500</v>
      </c>
      <c r="I128" s="17"/>
      <c r="J128" s="17" t="n">
        <v>5</v>
      </c>
      <c r="K128" s="17"/>
      <c r="L128" s="17"/>
      <c r="M128" s="17" t="n">
        <v>2</v>
      </c>
      <c r="N128" s="27" t="str">
        <f aca="false">IF(F128=_xlfn.MINIFS($F$2:$F$948,$A$2:$A$948,$A128,$B$2:$B$948,$B128),"BEST","")</f>
        <v>BEST</v>
      </c>
    </row>
    <row r="129" customFormat="false" ht="15" hidden="false" customHeight="false" outlineLevel="0" collapsed="false">
      <c r="A129" s="16" t="s">
        <v>45</v>
      </c>
      <c r="B129" s="17" t="n">
        <v>6</v>
      </c>
      <c r="C129" s="17" t="s">
        <v>70</v>
      </c>
      <c r="D129" s="16" t="s">
        <v>68</v>
      </c>
      <c r="E129" s="17" t="n">
        <v>17</v>
      </c>
      <c r="F129" s="26" t="n">
        <v>1.5867011999559E-006</v>
      </c>
      <c r="G129" s="17" t="n">
        <v>21</v>
      </c>
      <c r="H129" s="17" t="n">
        <v>1500</v>
      </c>
      <c r="I129" s="17"/>
      <c r="J129" s="17" t="n">
        <v>5</v>
      </c>
      <c r="K129" s="17"/>
      <c r="L129" s="17"/>
      <c r="M129" s="17" t="n">
        <v>2</v>
      </c>
      <c r="N129" s="27" t="str">
        <f aca="false">IF(F129=_xlfn.MINIFS($F$2:$F$948,$A$2:$A$948,$A129,$B$2:$B$948,$B129),"BEST","")</f>
        <v>BEST</v>
      </c>
    </row>
    <row r="130" customFormat="false" ht="15" hidden="false" customHeight="false" outlineLevel="0" collapsed="false">
      <c r="A130" s="16" t="s">
        <v>45</v>
      </c>
      <c r="B130" s="17" t="n">
        <v>6</v>
      </c>
      <c r="C130" s="17" t="s">
        <v>70</v>
      </c>
      <c r="D130" s="16" t="s">
        <v>68</v>
      </c>
      <c r="E130" s="17" t="n">
        <v>18</v>
      </c>
      <c r="F130" s="26" t="n">
        <v>1.5867011999559E-006</v>
      </c>
      <c r="G130" s="17" t="n">
        <v>21</v>
      </c>
      <c r="H130" s="17" t="n">
        <v>1500</v>
      </c>
      <c r="I130" s="17"/>
      <c r="J130" s="17" t="n">
        <v>5</v>
      </c>
      <c r="K130" s="17"/>
      <c r="L130" s="17"/>
      <c r="M130" s="17" t="n">
        <v>2</v>
      </c>
      <c r="N130" s="27" t="str">
        <f aca="false">IF(F130=_xlfn.MINIFS($F$2:$F$948,$A$2:$A$948,$A130,$B$2:$B$948,$B130),"BEST","")</f>
        <v>BEST</v>
      </c>
    </row>
    <row r="131" customFormat="false" ht="15" hidden="false" customHeight="false" outlineLevel="0" collapsed="false">
      <c r="A131" s="16" t="s">
        <v>45</v>
      </c>
      <c r="B131" s="17" t="n">
        <v>6</v>
      </c>
      <c r="C131" s="17" t="s">
        <v>70</v>
      </c>
      <c r="D131" s="16" t="s">
        <v>68</v>
      </c>
      <c r="E131" s="17" t="n">
        <v>19</v>
      </c>
      <c r="F131" s="26" t="n">
        <v>1.5867011999559E-006</v>
      </c>
      <c r="G131" s="17" t="n">
        <v>21</v>
      </c>
      <c r="H131" s="17" t="n">
        <v>1500</v>
      </c>
      <c r="I131" s="17"/>
      <c r="J131" s="17" t="n">
        <v>5</v>
      </c>
      <c r="K131" s="17"/>
      <c r="L131" s="17"/>
      <c r="M131" s="17" t="n">
        <v>2</v>
      </c>
      <c r="N131" s="27" t="str">
        <f aca="false">IF(F131=_xlfn.MINIFS($F$2:$F$948,$A$2:$A$948,$A131,$B$2:$B$948,$B131),"BEST","")</f>
        <v>BEST</v>
      </c>
    </row>
    <row r="132" customFormat="false" ht="15" hidden="false" customHeight="false" outlineLevel="0" collapsed="false">
      <c r="A132" s="22" t="s">
        <v>45</v>
      </c>
      <c r="B132" s="23" t="n">
        <v>6</v>
      </c>
      <c r="C132" s="23" t="s">
        <v>71</v>
      </c>
      <c r="D132" s="22" t="s">
        <v>72</v>
      </c>
      <c r="E132" s="23" t="n">
        <v>0</v>
      </c>
      <c r="F132" s="28" t="n">
        <v>0.00438940070079907</v>
      </c>
      <c r="G132" s="23" t="n">
        <v>96</v>
      </c>
      <c r="H132" s="23" t="n">
        <v>1500</v>
      </c>
      <c r="I132" s="23" t="n">
        <v>4</v>
      </c>
      <c r="J132" s="23" t="n">
        <v>5</v>
      </c>
      <c r="K132" s="22" t="s">
        <v>73</v>
      </c>
      <c r="L132" s="22" t="s">
        <v>74</v>
      </c>
      <c r="M132" s="23"/>
      <c r="N132" s="27" t="str">
        <f aca="false">IF(F132=_xlfn.MINIFS($F$2:$F$948,$A$2:$A$948,$A132,$B$2:$B$948,$B132),"BEST","")</f>
        <v/>
      </c>
    </row>
    <row r="133" customFormat="false" ht="15" hidden="false" customHeight="false" outlineLevel="0" collapsed="false">
      <c r="A133" s="22" t="s">
        <v>45</v>
      </c>
      <c r="B133" s="23" t="n">
        <v>6</v>
      </c>
      <c r="C133" s="23" t="s">
        <v>71</v>
      </c>
      <c r="D133" s="22" t="s">
        <v>72</v>
      </c>
      <c r="E133" s="23" t="n">
        <v>1</v>
      </c>
      <c r="F133" s="28" t="n">
        <v>0.0045670316182036</v>
      </c>
      <c r="G133" s="23" t="n">
        <v>96</v>
      </c>
      <c r="H133" s="23" t="n">
        <v>1500</v>
      </c>
      <c r="I133" s="23" t="n">
        <v>4</v>
      </c>
      <c r="J133" s="23" t="n">
        <v>5</v>
      </c>
      <c r="K133" s="22" t="s">
        <v>73</v>
      </c>
      <c r="L133" s="22" t="s">
        <v>74</v>
      </c>
      <c r="M133" s="23"/>
      <c r="N133" s="27" t="str">
        <f aca="false">IF(F133=_xlfn.MINIFS($F$2:$F$948,$A$2:$A$948,$A133,$B$2:$B$948,$B133),"BEST","")</f>
        <v/>
      </c>
    </row>
    <row r="134" customFormat="false" ht="15" hidden="false" customHeight="false" outlineLevel="0" collapsed="false">
      <c r="A134" s="22" t="s">
        <v>45</v>
      </c>
      <c r="B134" s="23" t="n">
        <v>6</v>
      </c>
      <c r="C134" s="23" t="s">
        <v>71</v>
      </c>
      <c r="D134" s="22" t="s">
        <v>72</v>
      </c>
      <c r="E134" s="23" t="n">
        <v>2</v>
      </c>
      <c r="F134" s="28" t="n">
        <v>0.00442661454440819</v>
      </c>
      <c r="G134" s="23" t="n">
        <v>96</v>
      </c>
      <c r="H134" s="23" t="n">
        <v>1500</v>
      </c>
      <c r="I134" s="23" t="n">
        <v>4</v>
      </c>
      <c r="J134" s="23" t="n">
        <v>5</v>
      </c>
      <c r="K134" s="22" t="s">
        <v>73</v>
      </c>
      <c r="L134" s="22" t="s">
        <v>74</v>
      </c>
      <c r="M134" s="23"/>
      <c r="N134" s="27" t="str">
        <f aca="false">IF(F134=_xlfn.MINIFS($F$2:$F$948,$A$2:$A$948,$A134,$B$2:$B$948,$B134),"BEST","")</f>
        <v/>
      </c>
    </row>
    <row r="135" customFormat="false" ht="15" hidden="false" customHeight="false" outlineLevel="0" collapsed="false">
      <c r="A135" s="22" t="s">
        <v>45</v>
      </c>
      <c r="B135" s="23" t="n">
        <v>6</v>
      </c>
      <c r="C135" s="23" t="s">
        <v>71</v>
      </c>
      <c r="D135" s="22" t="s">
        <v>72</v>
      </c>
      <c r="E135" s="23" t="n">
        <v>3</v>
      </c>
      <c r="F135" s="28" t="n">
        <v>0.00438621705134127</v>
      </c>
      <c r="G135" s="23" t="n">
        <v>96</v>
      </c>
      <c r="H135" s="23" t="n">
        <v>1500</v>
      </c>
      <c r="I135" s="23" t="n">
        <v>4</v>
      </c>
      <c r="J135" s="23" t="n">
        <v>5</v>
      </c>
      <c r="K135" s="22" t="s">
        <v>73</v>
      </c>
      <c r="L135" s="22" t="s">
        <v>74</v>
      </c>
      <c r="M135" s="23"/>
      <c r="N135" s="27" t="str">
        <f aca="false">IF(F135=_xlfn.MINIFS($F$2:$F$948,$A$2:$A$948,$A135,$B$2:$B$948,$B135),"BEST","")</f>
        <v/>
      </c>
    </row>
    <row r="136" customFormat="false" ht="15" hidden="false" customHeight="false" outlineLevel="0" collapsed="false">
      <c r="A136" s="22" t="s">
        <v>45</v>
      </c>
      <c r="B136" s="23" t="n">
        <v>6</v>
      </c>
      <c r="C136" s="23" t="s">
        <v>71</v>
      </c>
      <c r="D136" s="22" t="s">
        <v>72</v>
      </c>
      <c r="E136" s="23" t="n">
        <v>4</v>
      </c>
      <c r="F136" s="28" t="n">
        <v>0.00438684381059377</v>
      </c>
      <c r="G136" s="23" t="n">
        <v>96</v>
      </c>
      <c r="H136" s="23" t="n">
        <v>1500</v>
      </c>
      <c r="I136" s="23" t="n">
        <v>4</v>
      </c>
      <c r="J136" s="23" t="n">
        <v>5</v>
      </c>
      <c r="K136" s="22" t="s">
        <v>73</v>
      </c>
      <c r="L136" s="22" t="s">
        <v>74</v>
      </c>
      <c r="M136" s="23"/>
      <c r="N136" s="27" t="str">
        <f aca="false">IF(F136=_xlfn.MINIFS($F$2:$F$948,$A$2:$A$948,$A136,$B$2:$B$948,$B136),"BEST","")</f>
        <v/>
      </c>
    </row>
    <row r="137" customFormat="false" ht="15" hidden="false" customHeight="false" outlineLevel="0" collapsed="false">
      <c r="A137" s="22" t="s">
        <v>45</v>
      </c>
      <c r="B137" s="23" t="n">
        <v>6</v>
      </c>
      <c r="C137" s="23" t="s">
        <v>71</v>
      </c>
      <c r="D137" s="22" t="s">
        <v>72</v>
      </c>
      <c r="E137" s="23" t="n">
        <v>5</v>
      </c>
      <c r="F137" s="28" t="n">
        <v>0.00437840784102844</v>
      </c>
      <c r="G137" s="23" t="n">
        <v>96</v>
      </c>
      <c r="H137" s="23" t="n">
        <v>1500</v>
      </c>
      <c r="I137" s="23" t="n">
        <v>4</v>
      </c>
      <c r="J137" s="23" t="n">
        <v>5</v>
      </c>
      <c r="K137" s="22" t="s">
        <v>73</v>
      </c>
      <c r="L137" s="22" t="s">
        <v>74</v>
      </c>
      <c r="M137" s="23"/>
      <c r="N137" s="27" t="str">
        <f aca="false">IF(F137=_xlfn.MINIFS($F$2:$F$948,$A$2:$A$948,$A137,$B$2:$B$948,$B137),"BEST","")</f>
        <v/>
      </c>
    </row>
    <row r="138" customFormat="false" ht="15" hidden="false" customHeight="false" outlineLevel="0" collapsed="false">
      <c r="A138" s="22" t="s">
        <v>45</v>
      </c>
      <c r="B138" s="23" t="n">
        <v>6</v>
      </c>
      <c r="C138" s="23" t="s">
        <v>71</v>
      </c>
      <c r="D138" s="22" t="s">
        <v>72</v>
      </c>
      <c r="E138" s="23" t="n">
        <v>6</v>
      </c>
      <c r="F138" s="28" t="n">
        <v>0.0045962329957464</v>
      </c>
      <c r="G138" s="23" t="n">
        <v>96</v>
      </c>
      <c r="H138" s="23" t="n">
        <v>1500</v>
      </c>
      <c r="I138" s="23" t="n">
        <v>4</v>
      </c>
      <c r="J138" s="23" t="n">
        <v>5</v>
      </c>
      <c r="K138" s="22" t="s">
        <v>73</v>
      </c>
      <c r="L138" s="22" t="s">
        <v>74</v>
      </c>
      <c r="M138" s="23"/>
      <c r="N138" s="27" t="str">
        <f aca="false">IF(F138=_xlfn.MINIFS($F$2:$F$948,$A$2:$A$948,$A138,$B$2:$B$948,$B138),"BEST","")</f>
        <v/>
      </c>
    </row>
    <row r="139" customFormat="false" ht="15" hidden="false" customHeight="false" outlineLevel="0" collapsed="false">
      <c r="A139" s="22" t="s">
        <v>45</v>
      </c>
      <c r="B139" s="23" t="n">
        <v>6</v>
      </c>
      <c r="C139" s="23" t="s">
        <v>71</v>
      </c>
      <c r="D139" s="22" t="s">
        <v>72</v>
      </c>
      <c r="E139" s="23" t="n">
        <v>7</v>
      </c>
      <c r="F139" s="28" t="n">
        <v>0.00438149330032131</v>
      </c>
      <c r="G139" s="23" t="n">
        <v>96</v>
      </c>
      <c r="H139" s="23" t="n">
        <v>1500</v>
      </c>
      <c r="I139" s="23" t="n">
        <v>4</v>
      </c>
      <c r="J139" s="23" t="n">
        <v>5</v>
      </c>
      <c r="K139" s="22" t="s">
        <v>73</v>
      </c>
      <c r="L139" s="22" t="s">
        <v>74</v>
      </c>
      <c r="M139" s="23"/>
      <c r="N139" s="27" t="str">
        <f aca="false">IF(F139=_xlfn.MINIFS($F$2:$F$948,$A$2:$A$948,$A139,$B$2:$B$948,$B139),"BEST","")</f>
        <v/>
      </c>
    </row>
    <row r="140" customFormat="false" ht="15" hidden="false" customHeight="false" outlineLevel="0" collapsed="false">
      <c r="A140" s="22" t="s">
        <v>45</v>
      </c>
      <c r="B140" s="23" t="n">
        <v>6</v>
      </c>
      <c r="C140" s="23" t="s">
        <v>71</v>
      </c>
      <c r="D140" s="22" t="s">
        <v>72</v>
      </c>
      <c r="E140" s="23" t="n">
        <v>8</v>
      </c>
      <c r="F140" s="28" t="n">
        <v>0.00453940594615821</v>
      </c>
      <c r="G140" s="23" t="n">
        <v>96</v>
      </c>
      <c r="H140" s="23" t="n">
        <v>1500</v>
      </c>
      <c r="I140" s="23" t="n">
        <v>4</v>
      </c>
      <c r="J140" s="23" t="n">
        <v>5</v>
      </c>
      <c r="K140" s="22" t="s">
        <v>73</v>
      </c>
      <c r="L140" s="22" t="s">
        <v>74</v>
      </c>
      <c r="M140" s="23"/>
      <c r="N140" s="27" t="str">
        <f aca="false">IF(F140=_xlfn.MINIFS($F$2:$F$948,$A$2:$A$948,$A140,$B$2:$B$948,$B140),"BEST","")</f>
        <v/>
      </c>
    </row>
    <row r="141" customFormat="false" ht="15" hidden="false" customHeight="false" outlineLevel="0" collapsed="false">
      <c r="A141" s="22" t="s">
        <v>45</v>
      </c>
      <c r="B141" s="23" t="n">
        <v>6</v>
      </c>
      <c r="C141" s="23" t="s">
        <v>71</v>
      </c>
      <c r="D141" s="22" t="s">
        <v>72</v>
      </c>
      <c r="E141" s="23" t="n">
        <v>9</v>
      </c>
      <c r="F141" s="28" t="n">
        <v>0.00441134231848793</v>
      </c>
      <c r="G141" s="23" t="n">
        <v>96</v>
      </c>
      <c r="H141" s="23" t="n">
        <v>1500</v>
      </c>
      <c r="I141" s="23" t="n">
        <v>4</v>
      </c>
      <c r="J141" s="23" t="n">
        <v>5</v>
      </c>
      <c r="K141" s="22" t="s">
        <v>73</v>
      </c>
      <c r="L141" s="22" t="s">
        <v>74</v>
      </c>
      <c r="M141" s="23"/>
      <c r="N141" s="27" t="str">
        <f aca="false">IF(F141=_xlfn.MINIFS($F$2:$F$948,$A$2:$A$948,$A141,$B$2:$B$948,$B141),"BEST","")</f>
        <v/>
      </c>
    </row>
    <row r="142" customFormat="false" ht="15" hidden="false" customHeight="false" outlineLevel="0" collapsed="false">
      <c r="A142" s="16" t="s">
        <v>45</v>
      </c>
      <c r="B142" s="17" t="n">
        <v>8</v>
      </c>
      <c r="C142" s="17" t="s">
        <v>67</v>
      </c>
      <c r="D142" s="16" t="s">
        <v>68</v>
      </c>
      <c r="E142" s="17" t="n">
        <v>0</v>
      </c>
      <c r="F142" s="26" t="n">
        <v>0.0010030846443069</v>
      </c>
      <c r="G142" s="17" t="n">
        <v>128</v>
      </c>
      <c r="H142" s="17" t="n">
        <v>1200</v>
      </c>
      <c r="I142" s="17"/>
      <c r="J142" s="17" t="n">
        <v>5</v>
      </c>
      <c r="K142" s="17"/>
      <c r="L142" s="17"/>
      <c r="M142" s="17"/>
      <c r="N142" s="27" t="str">
        <f aca="false">IF(F142=_xlfn.MINIFS($F$2:$F$948,$A$2:$A$948,$A142,$B$2:$B$948,$B142),"BEST","")</f>
        <v/>
      </c>
    </row>
    <row r="143" customFormat="false" ht="15" hidden="false" customHeight="false" outlineLevel="0" collapsed="false">
      <c r="A143" s="16" t="s">
        <v>45</v>
      </c>
      <c r="B143" s="17" t="n">
        <v>8</v>
      </c>
      <c r="C143" s="17" t="s">
        <v>67</v>
      </c>
      <c r="D143" s="16" t="s">
        <v>68</v>
      </c>
      <c r="E143" s="17" t="n">
        <v>1</v>
      </c>
      <c r="F143" s="26" t="n">
        <v>0.000652196656942075</v>
      </c>
      <c r="G143" s="17" t="n">
        <v>128</v>
      </c>
      <c r="H143" s="17" t="n">
        <v>1200</v>
      </c>
      <c r="I143" s="17"/>
      <c r="J143" s="17" t="n">
        <v>5</v>
      </c>
      <c r="K143" s="17"/>
      <c r="L143" s="17"/>
      <c r="M143" s="17"/>
      <c r="N143" s="27" t="str">
        <f aca="false">IF(F143=_xlfn.MINIFS($F$2:$F$948,$A$2:$A$948,$A143,$B$2:$B$948,$B143),"BEST","")</f>
        <v/>
      </c>
    </row>
    <row r="144" customFormat="false" ht="15" hidden="false" customHeight="false" outlineLevel="0" collapsed="false">
      <c r="A144" s="16" t="s">
        <v>45</v>
      </c>
      <c r="B144" s="17" t="n">
        <v>8</v>
      </c>
      <c r="C144" s="17" t="s">
        <v>67</v>
      </c>
      <c r="D144" s="16" t="s">
        <v>68</v>
      </c>
      <c r="E144" s="17" t="n">
        <v>2</v>
      </c>
      <c r="F144" s="26" t="n">
        <v>0.000848189748157607</v>
      </c>
      <c r="G144" s="17" t="n">
        <v>128</v>
      </c>
      <c r="H144" s="17" t="n">
        <v>1200</v>
      </c>
      <c r="I144" s="17"/>
      <c r="J144" s="17" t="n">
        <v>5</v>
      </c>
      <c r="K144" s="17"/>
      <c r="L144" s="17"/>
      <c r="M144" s="17"/>
      <c r="N144" s="27" t="str">
        <f aca="false">IF(F144=_xlfn.MINIFS($F$2:$F$948,$A$2:$A$948,$A144,$B$2:$B$948,$B144),"BEST","")</f>
        <v/>
      </c>
    </row>
    <row r="145" customFormat="false" ht="15" hidden="false" customHeight="false" outlineLevel="0" collapsed="false">
      <c r="A145" s="16" t="s">
        <v>45</v>
      </c>
      <c r="B145" s="17" t="n">
        <v>8</v>
      </c>
      <c r="C145" s="17" t="s">
        <v>67</v>
      </c>
      <c r="D145" s="16" t="s">
        <v>68</v>
      </c>
      <c r="E145" s="17" t="n">
        <v>3</v>
      </c>
      <c r="F145" s="26" t="n">
        <v>0.000741571625260031</v>
      </c>
      <c r="G145" s="17" t="n">
        <v>128</v>
      </c>
      <c r="H145" s="17" t="n">
        <v>1200</v>
      </c>
      <c r="I145" s="17"/>
      <c r="J145" s="17" t="n">
        <v>5</v>
      </c>
      <c r="K145" s="17"/>
      <c r="L145" s="17"/>
      <c r="M145" s="17"/>
      <c r="N145" s="27" t="str">
        <f aca="false">IF(F145=_xlfn.MINIFS($F$2:$F$948,$A$2:$A$948,$A145,$B$2:$B$948,$B145),"BEST","")</f>
        <v/>
      </c>
    </row>
    <row r="146" customFormat="false" ht="15" hidden="false" customHeight="false" outlineLevel="0" collapsed="false">
      <c r="A146" s="16" t="s">
        <v>45</v>
      </c>
      <c r="B146" s="17" t="n">
        <v>8</v>
      </c>
      <c r="C146" s="17" t="s">
        <v>67</v>
      </c>
      <c r="D146" s="16" t="s">
        <v>68</v>
      </c>
      <c r="E146" s="17" t="n">
        <v>4</v>
      </c>
      <c r="F146" s="26" t="n">
        <v>0.000598720236974051</v>
      </c>
      <c r="G146" s="17" t="n">
        <v>128</v>
      </c>
      <c r="H146" s="17" t="n">
        <v>1200</v>
      </c>
      <c r="I146" s="17"/>
      <c r="J146" s="17" t="n">
        <v>5</v>
      </c>
      <c r="K146" s="17"/>
      <c r="L146" s="17"/>
      <c r="M146" s="17"/>
      <c r="N146" s="27" t="str">
        <f aca="false">IF(F146=_xlfn.MINIFS($F$2:$F$948,$A$2:$A$948,$A146,$B$2:$B$948,$B146),"BEST","")</f>
        <v/>
      </c>
    </row>
    <row r="147" customFormat="false" ht="15" hidden="false" customHeight="false" outlineLevel="0" collapsed="false">
      <c r="A147" s="16" t="s">
        <v>45</v>
      </c>
      <c r="B147" s="17" t="n">
        <v>8</v>
      </c>
      <c r="C147" s="17" t="s">
        <v>67</v>
      </c>
      <c r="D147" s="16" t="s">
        <v>68</v>
      </c>
      <c r="E147" s="17" t="n">
        <v>5</v>
      </c>
      <c r="F147" s="26" t="n">
        <v>0.000732368173938727</v>
      </c>
      <c r="G147" s="17" t="n">
        <v>128</v>
      </c>
      <c r="H147" s="17" t="n">
        <v>1200</v>
      </c>
      <c r="I147" s="17"/>
      <c r="J147" s="17" t="n">
        <v>5</v>
      </c>
      <c r="K147" s="17"/>
      <c r="L147" s="17"/>
      <c r="M147" s="17"/>
      <c r="N147" s="27" t="str">
        <f aca="false">IF(F147=_xlfn.MINIFS($F$2:$F$948,$A$2:$A$948,$A147,$B$2:$B$948,$B147),"BEST","")</f>
        <v/>
      </c>
    </row>
    <row r="148" customFormat="false" ht="15" hidden="false" customHeight="false" outlineLevel="0" collapsed="false">
      <c r="A148" s="16" t="s">
        <v>45</v>
      </c>
      <c r="B148" s="17" t="n">
        <v>8</v>
      </c>
      <c r="C148" s="17" t="s">
        <v>67</v>
      </c>
      <c r="D148" s="16" t="s">
        <v>68</v>
      </c>
      <c r="E148" s="17" t="n">
        <v>6</v>
      </c>
      <c r="F148" s="26" t="n">
        <v>0.000629173626925273</v>
      </c>
      <c r="G148" s="17" t="n">
        <v>128</v>
      </c>
      <c r="H148" s="17" t="n">
        <v>1200</v>
      </c>
      <c r="I148" s="17"/>
      <c r="J148" s="17" t="n">
        <v>5</v>
      </c>
      <c r="K148" s="17"/>
      <c r="L148" s="17"/>
      <c r="M148" s="17"/>
      <c r="N148" s="27" t="str">
        <f aca="false">IF(F148=_xlfn.MINIFS($F$2:$F$948,$A$2:$A$948,$A148,$B$2:$B$948,$B148),"BEST","")</f>
        <v/>
      </c>
    </row>
    <row r="149" customFormat="false" ht="15" hidden="false" customHeight="false" outlineLevel="0" collapsed="false">
      <c r="A149" s="16" t="s">
        <v>45</v>
      </c>
      <c r="B149" s="17" t="n">
        <v>8</v>
      </c>
      <c r="C149" s="17" t="s">
        <v>67</v>
      </c>
      <c r="D149" s="16" t="s">
        <v>68</v>
      </c>
      <c r="E149" s="17" t="n">
        <v>7</v>
      </c>
      <c r="F149" s="26" t="n">
        <v>0.000951161517320034</v>
      </c>
      <c r="G149" s="17" t="n">
        <v>128</v>
      </c>
      <c r="H149" s="17" t="n">
        <v>1200</v>
      </c>
      <c r="I149" s="17"/>
      <c r="J149" s="17" t="n">
        <v>5</v>
      </c>
      <c r="K149" s="17"/>
      <c r="L149" s="17"/>
      <c r="M149" s="17"/>
      <c r="N149" s="27" t="str">
        <f aca="false">IF(F149=_xlfn.MINIFS($F$2:$F$948,$A$2:$A$948,$A149,$B$2:$B$948,$B149),"BEST","")</f>
        <v/>
      </c>
    </row>
    <row r="150" customFormat="false" ht="15" hidden="false" customHeight="false" outlineLevel="0" collapsed="false">
      <c r="A150" s="16" t="s">
        <v>45</v>
      </c>
      <c r="B150" s="17" t="n">
        <v>8</v>
      </c>
      <c r="C150" s="17" t="s">
        <v>67</v>
      </c>
      <c r="D150" s="16" t="s">
        <v>68</v>
      </c>
      <c r="E150" s="17" t="n">
        <v>8</v>
      </c>
      <c r="F150" s="26" t="n">
        <v>0.000762651997175106</v>
      </c>
      <c r="G150" s="17" t="n">
        <v>128</v>
      </c>
      <c r="H150" s="17" t="n">
        <v>1200</v>
      </c>
      <c r="I150" s="17"/>
      <c r="J150" s="17" t="n">
        <v>5</v>
      </c>
      <c r="K150" s="17"/>
      <c r="L150" s="17"/>
      <c r="M150" s="17"/>
      <c r="N150" s="27" t="str">
        <f aca="false">IF(F150=_xlfn.MINIFS($F$2:$F$948,$A$2:$A$948,$A150,$B$2:$B$948,$B150),"BEST","")</f>
        <v/>
      </c>
    </row>
    <row r="151" customFormat="false" ht="15" hidden="false" customHeight="false" outlineLevel="0" collapsed="false">
      <c r="A151" s="16" t="s">
        <v>45</v>
      </c>
      <c r="B151" s="17" t="n">
        <v>8</v>
      </c>
      <c r="C151" s="17" t="s">
        <v>67</v>
      </c>
      <c r="D151" s="16" t="s">
        <v>68</v>
      </c>
      <c r="E151" s="17" t="n">
        <v>9</v>
      </c>
      <c r="F151" s="26" t="n">
        <v>0.000833454305493793</v>
      </c>
      <c r="G151" s="17" t="n">
        <v>128</v>
      </c>
      <c r="H151" s="17" t="n">
        <v>1200</v>
      </c>
      <c r="I151" s="17"/>
      <c r="J151" s="17" t="n">
        <v>5</v>
      </c>
      <c r="K151" s="17"/>
      <c r="L151" s="17"/>
      <c r="M151" s="17"/>
      <c r="N151" s="27" t="str">
        <f aca="false">IF(F151=_xlfn.MINIFS($F$2:$F$948,$A$2:$A$948,$A151,$B$2:$B$948,$B151),"BEST","")</f>
        <v/>
      </c>
    </row>
    <row r="152" customFormat="false" ht="15" hidden="false" customHeight="false" outlineLevel="0" collapsed="false">
      <c r="A152" s="16" t="s">
        <v>45</v>
      </c>
      <c r="B152" s="17" t="n">
        <v>8</v>
      </c>
      <c r="C152" s="17" t="s">
        <v>67</v>
      </c>
      <c r="D152" s="16" t="s">
        <v>68</v>
      </c>
      <c r="E152" s="17" t="n">
        <v>10</v>
      </c>
      <c r="F152" s="26" t="n">
        <v>0.000575166511570172</v>
      </c>
      <c r="G152" s="17" t="n">
        <v>128</v>
      </c>
      <c r="H152" s="17" t="n">
        <v>1200</v>
      </c>
      <c r="I152" s="17"/>
      <c r="J152" s="17" t="n">
        <v>5</v>
      </c>
      <c r="K152" s="17"/>
      <c r="L152" s="17"/>
      <c r="M152" s="17"/>
      <c r="N152" s="27" t="str">
        <f aca="false">IF(F152=_xlfn.MINIFS($F$2:$F$948,$A$2:$A$948,$A152,$B$2:$B$948,$B152),"BEST","")</f>
        <v/>
      </c>
    </row>
    <row r="153" customFormat="false" ht="15" hidden="false" customHeight="false" outlineLevel="0" collapsed="false">
      <c r="A153" s="16" t="s">
        <v>45</v>
      </c>
      <c r="B153" s="17" t="n">
        <v>8</v>
      </c>
      <c r="C153" s="17" t="s">
        <v>67</v>
      </c>
      <c r="D153" s="16" t="s">
        <v>68</v>
      </c>
      <c r="E153" s="17" t="n">
        <v>11</v>
      </c>
      <c r="F153" s="26" t="n">
        <v>0.00076342062954088</v>
      </c>
      <c r="G153" s="17" t="n">
        <v>128</v>
      </c>
      <c r="H153" s="17" t="n">
        <v>1200</v>
      </c>
      <c r="I153" s="17"/>
      <c r="J153" s="17" t="n">
        <v>5</v>
      </c>
      <c r="K153" s="17"/>
      <c r="L153" s="17"/>
      <c r="M153" s="17"/>
      <c r="N153" s="27" t="str">
        <f aca="false">IF(F153=_xlfn.MINIFS($F$2:$F$948,$A$2:$A$948,$A153,$B$2:$B$948,$B153),"BEST","")</f>
        <v/>
      </c>
    </row>
    <row r="154" customFormat="false" ht="15" hidden="false" customHeight="false" outlineLevel="0" collapsed="false">
      <c r="A154" s="16" t="s">
        <v>45</v>
      </c>
      <c r="B154" s="17" t="n">
        <v>8</v>
      </c>
      <c r="C154" s="17" t="s">
        <v>67</v>
      </c>
      <c r="D154" s="16" t="s">
        <v>68</v>
      </c>
      <c r="E154" s="17" t="n">
        <v>12</v>
      </c>
      <c r="F154" s="26" t="n">
        <v>0.000800138582052544</v>
      </c>
      <c r="G154" s="17" t="n">
        <v>128</v>
      </c>
      <c r="H154" s="17" t="n">
        <v>1200</v>
      </c>
      <c r="I154" s="17"/>
      <c r="J154" s="17" t="n">
        <v>5</v>
      </c>
      <c r="K154" s="17"/>
      <c r="L154" s="17"/>
      <c r="M154" s="17"/>
      <c r="N154" s="27" t="str">
        <f aca="false">IF(F154=_xlfn.MINIFS($F$2:$F$948,$A$2:$A$948,$A154,$B$2:$B$948,$B154),"BEST","")</f>
        <v/>
      </c>
    </row>
    <row r="155" customFormat="false" ht="15" hidden="false" customHeight="false" outlineLevel="0" collapsed="false">
      <c r="A155" s="16" t="s">
        <v>45</v>
      </c>
      <c r="B155" s="17" t="n">
        <v>8</v>
      </c>
      <c r="C155" s="17" t="s">
        <v>67</v>
      </c>
      <c r="D155" s="16" t="s">
        <v>68</v>
      </c>
      <c r="E155" s="17" t="n">
        <v>13</v>
      </c>
      <c r="F155" s="26" t="n">
        <v>0.00055863824198789</v>
      </c>
      <c r="G155" s="17" t="n">
        <v>128</v>
      </c>
      <c r="H155" s="17" t="n">
        <v>1200</v>
      </c>
      <c r="I155" s="17"/>
      <c r="J155" s="17" t="n">
        <v>5</v>
      </c>
      <c r="K155" s="17"/>
      <c r="L155" s="17"/>
      <c r="M155" s="17"/>
      <c r="N155" s="27" t="str">
        <f aca="false">IF(F155=_xlfn.MINIFS($F$2:$F$948,$A$2:$A$948,$A155,$B$2:$B$948,$B155),"BEST","")</f>
        <v/>
      </c>
    </row>
    <row r="156" customFormat="false" ht="15" hidden="false" customHeight="false" outlineLevel="0" collapsed="false">
      <c r="A156" s="16" t="s">
        <v>45</v>
      </c>
      <c r="B156" s="17" t="n">
        <v>8</v>
      </c>
      <c r="C156" s="17" t="s">
        <v>67</v>
      </c>
      <c r="D156" s="16" t="s">
        <v>68</v>
      </c>
      <c r="E156" s="17" t="n">
        <v>14</v>
      </c>
      <c r="F156" s="26" t="n">
        <v>0.000661328980886648</v>
      </c>
      <c r="G156" s="17" t="n">
        <v>128</v>
      </c>
      <c r="H156" s="17" t="n">
        <v>1200</v>
      </c>
      <c r="I156" s="17"/>
      <c r="J156" s="17" t="n">
        <v>5</v>
      </c>
      <c r="K156" s="17"/>
      <c r="L156" s="17"/>
      <c r="M156" s="17"/>
      <c r="N156" s="27" t="str">
        <f aca="false">IF(F156=_xlfn.MINIFS($F$2:$F$948,$A$2:$A$948,$A156,$B$2:$B$948,$B156),"BEST","")</f>
        <v/>
      </c>
    </row>
    <row r="157" customFormat="false" ht="15" hidden="false" customHeight="false" outlineLevel="0" collapsed="false">
      <c r="A157" s="16" t="s">
        <v>45</v>
      </c>
      <c r="B157" s="17" t="n">
        <v>8</v>
      </c>
      <c r="C157" s="17" t="s">
        <v>67</v>
      </c>
      <c r="D157" s="16" t="s">
        <v>68</v>
      </c>
      <c r="E157" s="17" t="n">
        <v>15</v>
      </c>
      <c r="F157" s="26" t="n">
        <v>0.000873050272515817</v>
      </c>
      <c r="G157" s="17" t="n">
        <v>128</v>
      </c>
      <c r="H157" s="17" t="n">
        <v>1200</v>
      </c>
      <c r="I157" s="17"/>
      <c r="J157" s="17" t="n">
        <v>5</v>
      </c>
      <c r="K157" s="17"/>
      <c r="L157" s="17"/>
      <c r="M157" s="17"/>
      <c r="N157" s="27" t="str">
        <f aca="false">IF(F157=_xlfn.MINIFS($F$2:$F$948,$A$2:$A$948,$A157,$B$2:$B$948,$B157),"BEST","")</f>
        <v/>
      </c>
    </row>
    <row r="158" customFormat="false" ht="15" hidden="false" customHeight="false" outlineLevel="0" collapsed="false">
      <c r="A158" s="16" t="s">
        <v>45</v>
      </c>
      <c r="B158" s="17" t="n">
        <v>8</v>
      </c>
      <c r="C158" s="17" t="s">
        <v>67</v>
      </c>
      <c r="D158" s="16" t="s">
        <v>68</v>
      </c>
      <c r="E158" s="17" t="n">
        <v>16</v>
      </c>
      <c r="F158" s="26" t="n">
        <v>0.000899993344136318</v>
      </c>
      <c r="G158" s="17" t="n">
        <v>128</v>
      </c>
      <c r="H158" s="17" t="n">
        <v>1200</v>
      </c>
      <c r="I158" s="17"/>
      <c r="J158" s="17" t="n">
        <v>5</v>
      </c>
      <c r="K158" s="17"/>
      <c r="L158" s="17"/>
      <c r="M158" s="17"/>
      <c r="N158" s="27" t="str">
        <f aca="false">IF(F158=_xlfn.MINIFS($F$2:$F$948,$A$2:$A$948,$A158,$B$2:$B$948,$B158),"BEST","")</f>
        <v/>
      </c>
    </row>
    <row r="159" customFormat="false" ht="15" hidden="false" customHeight="false" outlineLevel="0" collapsed="false">
      <c r="A159" s="16" t="s">
        <v>45</v>
      </c>
      <c r="B159" s="17" t="n">
        <v>8</v>
      </c>
      <c r="C159" s="17" t="s">
        <v>67</v>
      </c>
      <c r="D159" s="16" t="s">
        <v>68</v>
      </c>
      <c r="E159" s="17" t="n">
        <v>17</v>
      </c>
      <c r="F159" s="26" t="n">
        <v>0.00065107486556638</v>
      </c>
      <c r="G159" s="17" t="n">
        <v>128</v>
      </c>
      <c r="H159" s="17" t="n">
        <v>1200</v>
      </c>
      <c r="I159" s="17"/>
      <c r="J159" s="17" t="n">
        <v>5</v>
      </c>
      <c r="K159" s="17"/>
      <c r="L159" s="17"/>
      <c r="M159" s="17"/>
      <c r="N159" s="27" t="str">
        <f aca="false">IF(F159=_xlfn.MINIFS($F$2:$F$948,$A$2:$A$948,$A159,$B$2:$B$948,$B159),"BEST","")</f>
        <v/>
      </c>
    </row>
    <row r="160" customFormat="false" ht="15" hidden="false" customHeight="false" outlineLevel="0" collapsed="false">
      <c r="A160" s="16" t="s">
        <v>45</v>
      </c>
      <c r="B160" s="17" t="n">
        <v>8</v>
      </c>
      <c r="C160" s="17" t="s">
        <v>67</v>
      </c>
      <c r="D160" s="16" t="s">
        <v>68</v>
      </c>
      <c r="E160" s="17" t="n">
        <v>18</v>
      </c>
      <c r="F160" s="26" t="n">
        <v>0.000876045240272751</v>
      </c>
      <c r="G160" s="17" t="n">
        <v>128</v>
      </c>
      <c r="H160" s="17" t="n">
        <v>1200</v>
      </c>
      <c r="I160" s="17"/>
      <c r="J160" s="17" t="n">
        <v>5</v>
      </c>
      <c r="K160" s="17"/>
      <c r="L160" s="17"/>
      <c r="M160" s="17"/>
      <c r="N160" s="27" t="str">
        <f aca="false">IF(F160=_xlfn.MINIFS($F$2:$F$948,$A$2:$A$948,$A160,$B$2:$B$948,$B160),"BEST","")</f>
        <v/>
      </c>
    </row>
    <row r="161" customFormat="false" ht="15" hidden="false" customHeight="false" outlineLevel="0" collapsed="false">
      <c r="A161" s="16" t="s">
        <v>45</v>
      </c>
      <c r="B161" s="17" t="n">
        <v>8</v>
      </c>
      <c r="C161" s="17" t="s">
        <v>67</v>
      </c>
      <c r="D161" s="16" t="s">
        <v>68</v>
      </c>
      <c r="E161" s="17" t="n">
        <v>19</v>
      </c>
      <c r="F161" s="26" t="n">
        <v>0.000696731064028467</v>
      </c>
      <c r="G161" s="17" t="n">
        <v>128</v>
      </c>
      <c r="H161" s="17" t="n">
        <v>1200</v>
      </c>
      <c r="I161" s="17"/>
      <c r="J161" s="17" t="n">
        <v>5</v>
      </c>
      <c r="K161" s="17"/>
      <c r="L161" s="17"/>
      <c r="M161" s="17"/>
      <c r="N161" s="27" t="str">
        <f aca="false">IF(F161=_xlfn.MINIFS($F$2:$F$948,$A$2:$A$948,$A161,$B$2:$B$948,$B161),"BEST","")</f>
        <v/>
      </c>
    </row>
    <row r="162" customFormat="false" ht="15" hidden="false" customHeight="false" outlineLevel="0" collapsed="false">
      <c r="A162" s="16" t="s">
        <v>45</v>
      </c>
      <c r="B162" s="17" t="n">
        <v>8</v>
      </c>
      <c r="C162" s="17" t="s">
        <v>69</v>
      </c>
      <c r="D162" s="16" t="s">
        <v>68</v>
      </c>
      <c r="E162" s="17" t="n">
        <v>0</v>
      </c>
      <c r="F162" s="26" t="n">
        <v>0.0157351024553179</v>
      </c>
      <c r="G162" s="17" t="n">
        <v>128</v>
      </c>
      <c r="H162" s="17" t="n">
        <v>1200</v>
      </c>
      <c r="I162" s="17"/>
      <c r="J162" s="17" t="n">
        <v>5</v>
      </c>
      <c r="K162" s="17"/>
      <c r="L162" s="17"/>
      <c r="M162" s="17"/>
      <c r="N162" s="27" t="str">
        <f aca="false">IF(F162=_xlfn.MINIFS($F$2:$F$948,$A$2:$A$948,$A162,$B$2:$B$948,$B162),"BEST","")</f>
        <v/>
      </c>
    </row>
    <row r="163" customFormat="false" ht="15" hidden="false" customHeight="false" outlineLevel="0" collapsed="false">
      <c r="A163" s="16" t="s">
        <v>45</v>
      </c>
      <c r="B163" s="17" t="n">
        <v>8</v>
      </c>
      <c r="C163" s="17" t="s">
        <v>69</v>
      </c>
      <c r="D163" s="16" t="s">
        <v>68</v>
      </c>
      <c r="E163" s="17" t="n">
        <v>1</v>
      </c>
      <c r="F163" s="26" t="n">
        <v>0.0179983388680947</v>
      </c>
      <c r="G163" s="17" t="n">
        <v>128</v>
      </c>
      <c r="H163" s="17" t="n">
        <v>1200</v>
      </c>
      <c r="I163" s="17"/>
      <c r="J163" s="17" t="n">
        <v>5</v>
      </c>
      <c r="K163" s="17"/>
      <c r="L163" s="17"/>
      <c r="M163" s="17"/>
      <c r="N163" s="27" t="str">
        <f aca="false">IF(F163=_xlfn.MINIFS($F$2:$F$948,$A$2:$A$948,$A163,$B$2:$B$948,$B163),"BEST","")</f>
        <v/>
      </c>
    </row>
    <row r="164" customFormat="false" ht="15" hidden="false" customHeight="false" outlineLevel="0" collapsed="false">
      <c r="A164" s="16" t="s">
        <v>45</v>
      </c>
      <c r="B164" s="17" t="n">
        <v>8</v>
      </c>
      <c r="C164" s="17" t="s">
        <v>69</v>
      </c>
      <c r="D164" s="16" t="s">
        <v>68</v>
      </c>
      <c r="E164" s="17" t="n">
        <v>2</v>
      </c>
      <c r="F164" s="26" t="n">
        <v>0.0205778097606821</v>
      </c>
      <c r="G164" s="17" t="n">
        <v>128</v>
      </c>
      <c r="H164" s="17" t="n">
        <v>1200</v>
      </c>
      <c r="I164" s="17"/>
      <c r="J164" s="17" t="n">
        <v>5</v>
      </c>
      <c r="K164" s="17"/>
      <c r="L164" s="17"/>
      <c r="M164" s="17"/>
      <c r="N164" s="27" t="str">
        <f aca="false">IF(F164=_xlfn.MINIFS($F$2:$F$948,$A$2:$A$948,$A164,$B$2:$B$948,$B164),"BEST","")</f>
        <v/>
      </c>
    </row>
    <row r="165" customFormat="false" ht="15" hidden="false" customHeight="false" outlineLevel="0" collapsed="false">
      <c r="A165" s="16" t="s">
        <v>45</v>
      </c>
      <c r="B165" s="17" t="n">
        <v>8</v>
      </c>
      <c r="C165" s="17" t="s">
        <v>69</v>
      </c>
      <c r="D165" s="16" t="s">
        <v>68</v>
      </c>
      <c r="E165" s="17" t="n">
        <v>3</v>
      </c>
      <c r="F165" s="26" t="n">
        <v>0.0135645227793152</v>
      </c>
      <c r="G165" s="17" t="n">
        <v>128</v>
      </c>
      <c r="H165" s="17" t="n">
        <v>1200</v>
      </c>
      <c r="I165" s="17"/>
      <c r="J165" s="17" t="n">
        <v>5</v>
      </c>
      <c r="K165" s="17"/>
      <c r="L165" s="17"/>
      <c r="M165" s="17"/>
      <c r="N165" s="27" t="str">
        <f aca="false">IF(F165=_xlfn.MINIFS($F$2:$F$948,$A$2:$A$948,$A165,$B$2:$B$948,$B165),"BEST","")</f>
        <v/>
      </c>
    </row>
    <row r="166" customFormat="false" ht="15" hidden="false" customHeight="false" outlineLevel="0" collapsed="false">
      <c r="A166" s="16" t="s">
        <v>45</v>
      </c>
      <c r="B166" s="17" t="n">
        <v>8</v>
      </c>
      <c r="C166" s="17" t="s">
        <v>69</v>
      </c>
      <c r="D166" s="16" t="s">
        <v>68</v>
      </c>
      <c r="E166" s="17" t="n">
        <v>4</v>
      </c>
      <c r="F166" s="26" t="n">
        <v>0.0169077581627947</v>
      </c>
      <c r="G166" s="17" t="n">
        <v>128</v>
      </c>
      <c r="H166" s="17" t="n">
        <v>1200</v>
      </c>
      <c r="I166" s="17"/>
      <c r="J166" s="17" t="n">
        <v>5</v>
      </c>
      <c r="K166" s="17"/>
      <c r="L166" s="17"/>
      <c r="M166" s="17"/>
      <c r="N166" s="27" t="str">
        <f aca="false">IF(F166=_xlfn.MINIFS($F$2:$F$948,$A$2:$A$948,$A166,$B$2:$B$948,$B166),"BEST","")</f>
        <v/>
      </c>
    </row>
    <row r="167" customFormat="false" ht="15" hidden="false" customHeight="false" outlineLevel="0" collapsed="false">
      <c r="A167" s="16" t="s">
        <v>45</v>
      </c>
      <c r="B167" s="17" t="n">
        <v>8</v>
      </c>
      <c r="C167" s="17" t="s">
        <v>69</v>
      </c>
      <c r="D167" s="16" t="s">
        <v>68</v>
      </c>
      <c r="E167" s="17" t="n">
        <v>5</v>
      </c>
      <c r="F167" s="26" t="n">
        <v>0.0176031301713889</v>
      </c>
      <c r="G167" s="17" t="n">
        <v>128</v>
      </c>
      <c r="H167" s="17" t="n">
        <v>1200</v>
      </c>
      <c r="I167" s="17"/>
      <c r="J167" s="17" t="n">
        <v>5</v>
      </c>
      <c r="K167" s="17"/>
      <c r="L167" s="17"/>
      <c r="M167" s="17"/>
      <c r="N167" s="27" t="str">
        <f aca="false">IF(F167=_xlfn.MINIFS($F$2:$F$948,$A$2:$A$948,$A167,$B$2:$B$948,$B167),"BEST","")</f>
        <v/>
      </c>
    </row>
    <row r="168" customFormat="false" ht="15" hidden="false" customHeight="false" outlineLevel="0" collapsed="false">
      <c r="A168" s="16" t="s">
        <v>45</v>
      </c>
      <c r="B168" s="17" t="n">
        <v>8</v>
      </c>
      <c r="C168" s="17" t="s">
        <v>69</v>
      </c>
      <c r="D168" s="16" t="s">
        <v>68</v>
      </c>
      <c r="E168" s="17" t="n">
        <v>6</v>
      </c>
      <c r="F168" s="26" t="n">
        <v>0.0150397177627188</v>
      </c>
      <c r="G168" s="17" t="n">
        <v>128</v>
      </c>
      <c r="H168" s="17" t="n">
        <v>1200</v>
      </c>
      <c r="I168" s="17"/>
      <c r="J168" s="17" t="n">
        <v>5</v>
      </c>
      <c r="K168" s="17"/>
      <c r="L168" s="17"/>
      <c r="M168" s="17"/>
      <c r="N168" s="27" t="str">
        <f aca="false">IF(F168=_xlfn.MINIFS($F$2:$F$948,$A$2:$A$948,$A168,$B$2:$B$948,$B168),"BEST","")</f>
        <v/>
      </c>
    </row>
    <row r="169" customFormat="false" ht="15" hidden="false" customHeight="false" outlineLevel="0" collapsed="false">
      <c r="A169" s="16" t="s">
        <v>45</v>
      </c>
      <c r="B169" s="17" t="n">
        <v>8</v>
      </c>
      <c r="C169" s="17" t="s">
        <v>69</v>
      </c>
      <c r="D169" s="16" t="s">
        <v>68</v>
      </c>
      <c r="E169" s="17" t="n">
        <v>7</v>
      </c>
      <c r="F169" s="26" t="n">
        <v>0.0138550375138761</v>
      </c>
      <c r="G169" s="17" t="n">
        <v>128</v>
      </c>
      <c r="H169" s="17" t="n">
        <v>1200</v>
      </c>
      <c r="I169" s="17"/>
      <c r="J169" s="17" t="n">
        <v>5</v>
      </c>
      <c r="K169" s="17"/>
      <c r="L169" s="17"/>
      <c r="M169" s="17"/>
      <c r="N169" s="27" t="str">
        <f aca="false">IF(F169=_xlfn.MINIFS($F$2:$F$948,$A$2:$A$948,$A169,$B$2:$B$948,$B169),"BEST","")</f>
        <v/>
      </c>
    </row>
    <row r="170" customFormat="false" ht="15" hidden="false" customHeight="false" outlineLevel="0" collapsed="false">
      <c r="A170" s="16" t="s">
        <v>45</v>
      </c>
      <c r="B170" s="17" t="n">
        <v>8</v>
      </c>
      <c r="C170" s="17" t="s">
        <v>69</v>
      </c>
      <c r="D170" s="16" t="s">
        <v>68</v>
      </c>
      <c r="E170" s="17" t="n">
        <v>8</v>
      </c>
      <c r="F170" s="26" t="n">
        <v>0.0147182857453039</v>
      </c>
      <c r="G170" s="17" t="n">
        <v>128</v>
      </c>
      <c r="H170" s="17" t="n">
        <v>1200</v>
      </c>
      <c r="I170" s="17"/>
      <c r="J170" s="17" t="n">
        <v>5</v>
      </c>
      <c r="K170" s="17"/>
      <c r="L170" s="17"/>
      <c r="M170" s="17"/>
      <c r="N170" s="27" t="str">
        <f aca="false">IF(F170=_xlfn.MINIFS($F$2:$F$948,$A$2:$A$948,$A170,$B$2:$B$948,$B170),"BEST","")</f>
        <v/>
      </c>
    </row>
    <row r="171" customFormat="false" ht="15" hidden="false" customHeight="false" outlineLevel="0" collapsed="false">
      <c r="A171" s="16" t="s">
        <v>45</v>
      </c>
      <c r="B171" s="17" t="n">
        <v>8</v>
      </c>
      <c r="C171" s="17" t="s">
        <v>69</v>
      </c>
      <c r="D171" s="16" t="s">
        <v>68</v>
      </c>
      <c r="E171" s="17" t="n">
        <v>9</v>
      </c>
      <c r="F171" s="26" t="n">
        <v>0.0139165971346664</v>
      </c>
      <c r="G171" s="17" t="n">
        <v>128</v>
      </c>
      <c r="H171" s="17" t="n">
        <v>1200</v>
      </c>
      <c r="I171" s="17"/>
      <c r="J171" s="17" t="n">
        <v>5</v>
      </c>
      <c r="K171" s="17"/>
      <c r="L171" s="17"/>
      <c r="M171" s="17"/>
      <c r="N171" s="27" t="str">
        <f aca="false">IF(F171=_xlfn.MINIFS($F$2:$F$948,$A$2:$A$948,$A171,$B$2:$B$948,$B171),"BEST","")</f>
        <v/>
      </c>
    </row>
    <row r="172" customFormat="false" ht="15" hidden="false" customHeight="false" outlineLevel="0" collapsed="false">
      <c r="A172" s="16" t="s">
        <v>45</v>
      </c>
      <c r="B172" s="17" t="n">
        <v>8</v>
      </c>
      <c r="C172" s="17" t="s">
        <v>69</v>
      </c>
      <c r="D172" s="16" t="s">
        <v>68</v>
      </c>
      <c r="E172" s="17" t="n">
        <v>10</v>
      </c>
      <c r="F172" s="26" t="n">
        <v>0.0167136350247606</v>
      </c>
      <c r="G172" s="17" t="n">
        <v>128</v>
      </c>
      <c r="H172" s="17" t="n">
        <v>1200</v>
      </c>
      <c r="I172" s="17"/>
      <c r="J172" s="17" t="n">
        <v>5</v>
      </c>
      <c r="K172" s="17"/>
      <c r="L172" s="17"/>
      <c r="M172" s="17"/>
      <c r="N172" s="27" t="str">
        <f aca="false">IF(F172=_xlfn.MINIFS($F$2:$F$948,$A$2:$A$948,$A172,$B$2:$B$948,$B172),"BEST","")</f>
        <v/>
      </c>
    </row>
    <row r="173" customFormat="false" ht="15" hidden="false" customHeight="false" outlineLevel="0" collapsed="false">
      <c r="A173" s="16" t="s">
        <v>45</v>
      </c>
      <c r="B173" s="17" t="n">
        <v>8</v>
      </c>
      <c r="C173" s="17" t="s">
        <v>69</v>
      </c>
      <c r="D173" s="16" t="s">
        <v>68</v>
      </c>
      <c r="E173" s="17" t="n">
        <v>11</v>
      </c>
      <c r="F173" s="26" t="n">
        <v>0.0171401742397178</v>
      </c>
      <c r="G173" s="17" t="n">
        <v>128</v>
      </c>
      <c r="H173" s="17" t="n">
        <v>1200</v>
      </c>
      <c r="I173" s="17"/>
      <c r="J173" s="17" t="n">
        <v>5</v>
      </c>
      <c r="K173" s="17"/>
      <c r="L173" s="17"/>
      <c r="M173" s="17"/>
      <c r="N173" s="27" t="str">
        <f aca="false">IF(F173=_xlfn.MINIFS($F$2:$F$948,$A$2:$A$948,$A173,$B$2:$B$948,$B173),"BEST","")</f>
        <v/>
      </c>
    </row>
    <row r="174" customFormat="false" ht="15" hidden="false" customHeight="false" outlineLevel="0" collapsed="false">
      <c r="A174" s="16" t="s">
        <v>45</v>
      </c>
      <c r="B174" s="17" t="n">
        <v>8</v>
      </c>
      <c r="C174" s="17" t="s">
        <v>69</v>
      </c>
      <c r="D174" s="16" t="s">
        <v>68</v>
      </c>
      <c r="E174" s="17" t="n">
        <v>12</v>
      </c>
      <c r="F174" s="26" t="n">
        <v>0.0140184551953431</v>
      </c>
      <c r="G174" s="17" t="n">
        <v>128</v>
      </c>
      <c r="H174" s="17" t="n">
        <v>1200</v>
      </c>
      <c r="I174" s="17"/>
      <c r="J174" s="17" t="n">
        <v>5</v>
      </c>
      <c r="K174" s="17"/>
      <c r="L174" s="17"/>
      <c r="M174" s="17"/>
      <c r="N174" s="27" t="str">
        <f aca="false">IF(F174=_xlfn.MINIFS($F$2:$F$948,$A$2:$A$948,$A174,$B$2:$B$948,$B174),"BEST","")</f>
        <v/>
      </c>
    </row>
    <row r="175" customFormat="false" ht="15" hidden="false" customHeight="false" outlineLevel="0" collapsed="false">
      <c r="A175" s="16" t="s">
        <v>45</v>
      </c>
      <c r="B175" s="17" t="n">
        <v>8</v>
      </c>
      <c r="C175" s="17" t="s">
        <v>69</v>
      </c>
      <c r="D175" s="16" t="s">
        <v>68</v>
      </c>
      <c r="E175" s="17" t="n">
        <v>13</v>
      </c>
      <c r="F175" s="26" t="n">
        <v>0.0166982640102483</v>
      </c>
      <c r="G175" s="17" t="n">
        <v>128</v>
      </c>
      <c r="H175" s="17" t="n">
        <v>1200</v>
      </c>
      <c r="I175" s="17"/>
      <c r="J175" s="17" t="n">
        <v>5</v>
      </c>
      <c r="K175" s="17"/>
      <c r="L175" s="17"/>
      <c r="M175" s="17"/>
      <c r="N175" s="27" t="str">
        <f aca="false">IF(F175=_xlfn.MINIFS($F$2:$F$948,$A$2:$A$948,$A175,$B$2:$B$948,$B175),"BEST","")</f>
        <v/>
      </c>
    </row>
    <row r="176" customFormat="false" ht="15" hidden="false" customHeight="false" outlineLevel="0" collapsed="false">
      <c r="A176" s="16" t="s">
        <v>45</v>
      </c>
      <c r="B176" s="17" t="n">
        <v>8</v>
      </c>
      <c r="C176" s="17" t="s">
        <v>69</v>
      </c>
      <c r="D176" s="16" t="s">
        <v>68</v>
      </c>
      <c r="E176" s="17" t="n">
        <v>14</v>
      </c>
      <c r="F176" s="26" t="n">
        <v>0.0157227665203127</v>
      </c>
      <c r="G176" s="17" t="n">
        <v>128</v>
      </c>
      <c r="H176" s="17" t="n">
        <v>1200</v>
      </c>
      <c r="I176" s="17"/>
      <c r="J176" s="17" t="n">
        <v>5</v>
      </c>
      <c r="K176" s="17"/>
      <c r="L176" s="17"/>
      <c r="M176" s="17"/>
      <c r="N176" s="27" t="str">
        <f aca="false">IF(F176=_xlfn.MINIFS($F$2:$F$948,$A$2:$A$948,$A176,$B$2:$B$948,$B176),"BEST","")</f>
        <v/>
      </c>
    </row>
    <row r="177" customFormat="false" ht="15" hidden="false" customHeight="false" outlineLevel="0" collapsed="false">
      <c r="A177" s="16" t="s">
        <v>45</v>
      </c>
      <c r="B177" s="17" t="n">
        <v>8</v>
      </c>
      <c r="C177" s="17" t="s">
        <v>69</v>
      </c>
      <c r="D177" s="16" t="s">
        <v>68</v>
      </c>
      <c r="E177" s="17" t="n">
        <v>15</v>
      </c>
      <c r="F177" s="26" t="n">
        <v>0.0161906012898219</v>
      </c>
      <c r="G177" s="17" t="n">
        <v>128</v>
      </c>
      <c r="H177" s="17" t="n">
        <v>1200</v>
      </c>
      <c r="I177" s="17"/>
      <c r="J177" s="17" t="n">
        <v>5</v>
      </c>
      <c r="K177" s="17"/>
      <c r="L177" s="17"/>
      <c r="M177" s="17"/>
      <c r="N177" s="27" t="str">
        <f aca="false">IF(F177=_xlfn.MINIFS($F$2:$F$948,$A$2:$A$948,$A177,$B$2:$B$948,$B177),"BEST","")</f>
        <v/>
      </c>
    </row>
    <row r="178" customFormat="false" ht="15" hidden="false" customHeight="false" outlineLevel="0" collapsed="false">
      <c r="A178" s="16" t="s">
        <v>45</v>
      </c>
      <c r="B178" s="17" t="n">
        <v>8</v>
      </c>
      <c r="C178" s="17" t="s">
        <v>69</v>
      </c>
      <c r="D178" s="16" t="s">
        <v>68</v>
      </c>
      <c r="E178" s="17" t="n">
        <v>16</v>
      </c>
      <c r="F178" s="26" t="n">
        <v>0.0164728346863874</v>
      </c>
      <c r="G178" s="17" t="n">
        <v>128</v>
      </c>
      <c r="H178" s="17" t="n">
        <v>1200</v>
      </c>
      <c r="I178" s="17"/>
      <c r="J178" s="17" t="n">
        <v>5</v>
      </c>
      <c r="K178" s="17"/>
      <c r="L178" s="17"/>
      <c r="M178" s="17"/>
      <c r="N178" s="27" t="str">
        <f aca="false">IF(F178=_xlfn.MINIFS($F$2:$F$948,$A$2:$A$948,$A178,$B$2:$B$948,$B178),"BEST","")</f>
        <v/>
      </c>
    </row>
    <row r="179" customFormat="false" ht="15" hidden="false" customHeight="false" outlineLevel="0" collapsed="false">
      <c r="A179" s="16" t="s">
        <v>45</v>
      </c>
      <c r="B179" s="17" t="n">
        <v>8</v>
      </c>
      <c r="C179" s="17" t="s">
        <v>69</v>
      </c>
      <c r="D179" s="16" t="s">
        <v>68</v>
      </c>
      <c r="E179" s="17" t="n">
        <v>17</v>
      </c>
      <c r="F179" s="26" t="n">
        <v>0.0193813057871208</v>
      </c>
      <c r="G179" s="17" t="n">
        <v>128</v>
      </c>
      <c r="H179" s="17" t="n">
        <v>1200</v>
      </c>
      <c r="I179" s="17"/>
      <c r="J179" s="17" t="n">
        <v>5</v>
      </c>
      <c r="K179" s="17"/>
      <c r="L179" s="17"/>
      <c r="M179" s="17"/>
      <c r="N179" s="27" t="str">
        <f aca="false">IF(F179=_xlfn.MINIFS($F$2:$F$948,$A$2:$A$948,$A179,$B$2:$B$948,$B179),"BEST","")</f>
        <v/>
      </c>
    </row>
    <row r="180" customFormat="false" ht="15" hidden="false" customHeight="false" outlineLevel="0" collapsed="false">
      <c r="A180" s="16" t="s">
        <v>45</v>
      </c>
      <c r="B180" s="17" t="n">
        <v>8</v>
      </c>
      <c r="C180" s="17" t="s">
        <v>69</v>
      </c>
      <c r="D180" s="16" t="s">
        <v>68</v>
      </c>
      <c r="E180" s="17" t="n">
        <v>18</v>
      </c>
      <c r="F180" s="26" t="n">
        <v>0.0125180272790665</v>
      </c>
      <c r="G180" s="17" t="n">
        <v>128</v>
      </c>
      <c r="H180" s="17" t="n">
        <v>1200</v>
      </c>
      <c r="I180" s="17"/>
      <c r="J180" s="17" t="n">
        <v>5</v>
      </c>
      <c r="K180" s="17"/>
      <c r="L180" s="17"/>
      <c r="M180" s="17"/>
      <c r="N180" s="27" t="str">
        <f aca="false">IF(F180=_xlfn.MINIFS($F$2:$F$948,$A$2:$A$948,$A180,$B$2:$B$948,$B180),"BEST","")</f>
        <v/>
      </c>
    </row>
    <row r="181" customFormat="false" ht="15" hidden="false" customHeight="false" outlineLevel="0" collapsed="false">
      <c r="A181" s="16" t="s">
        <v>45</v>
      </c>
      <c r="B181" s="17" t="n">
        <v>8</v>
      </c>
      <c r="C181" s="17" t="s">
        <v>69</v>
      </c>
      <c r="D181" s="16" t="s">
        <v>68</v>
      </c>
      <c r="E181" s="17" t="n">
        <v>19</v>
      </c>
      <c r="F181" s="26" t="n">
        <v>0.0210578185273426</v>
      </c>
      <c r="G181" s="17" t="n">
        <v>128</v>
      </c>
      <c r="H181" s="17" t="n">
        <v>1200</v>
      </c>
      <c r="I181" s="17"/>
      <c r="J181" s="17" t="n">
        <v>5</v>
      </c>
      <c r="K181" s="17"/>
      <c r="L181" s="17"/>
      <c r="M181" s="17"/>
      <c r="N181" s="27" t="str">
        <f aca="false">IF(F181=_xlfn.MINIFS($F$2:$F$948,$A$2:$A$948,$A181,$B$2:$B$948,$B181),"BEST","")</f>
        <v/>
      </c>
    </row>
    <row r="182" customFormat="false" ht="15" hidden="false" customHeight="false" outlineLevel="0" collapsed="false">
      <c r="A182" s="16" t="s">
        <v>45</v>
      </c>
      <c r="B182" s="17" t="n">
        <v>8</v>
      </c>
      <c r="C182" s="17" t="s">
        <v>70</v>
      </c>
      <c r="D182" s="16" t="s">
        <v>68</v>
      </c>
      <c r="E182" s="17" t="n">
        <v>0</v>
      </c>
      <c r="F182" s="26" t="n">
        <v>2.15344257297157E-006</v>
      </c>
      <c r="G182" s="17" t="n">
        <v>21</v>
      </c>
      <c r="H182" s="17" t="n">
        <v>1200</v>
      </c>
      <c r="I182" s="17"/>
      <c r="J182" s="17" t="n">
        <v>5</v>
      </c>
      <c r="K182" s="17"/>
      <c r="L182" s="17"/>
      <c r="M182" s="17" t="n">
        <v>2</v>
      </c>
      <c r="N182" s="27" t="str">
        <f aca="false">IF(F182=_xlfn.MINIFS($F$2:$F$948,$A$2:$A$948,$A182,$B$2:$B$948,$B182),"BEST","")</f>
        <v>BEST</v>
      </c>
    </row>
    <row r="183" customFormat="false" ht="15" hidden="false" customHeight="false" outlineLevel="0" collapsed="false">
      <c r="A183" s="16" t="s">
        <v>45</v>
      </c>
      <c r="B183" s="17" t="n">
        <v>8</v>
      </c>
      <c r="C183" s="17" t="s">
        <v>70</v>
      </c>
      <c r="D183" s="16" t="s">
        <v>68</v>
      </c>
      <c r="E183" s="17" t="n">
        <v>1</v>
      </c>
      <c r="F183" s="26" t="n">
        <v>2.15344257297157E-006</v>
      </c>
      <c r="G183" s="17" t="n">
        <v>21</v>
      </c>
      <c r="H183" s="17" t="n">
        <v>1200</v>
      </c>
      <c r="I183" s="17"/>
      <c r="J183" s="17" t="n">
        <v>5</v>
      </c>
      <c r="K183" s="17"/>
      <c r="L183" s="17"/>
      <c r="M183" s="17" t="n">
        <v>2</v>
      </c>
      <c r="N183" s="27" t="str">
        <f aca="false">IF(F183=_xlfn.MINIFS($F$2:$F$948,$A$2:$A$948,$A183,$B$2:$B$948,$B183),"BEST","")</f>
        <v>BEST</v>
      </c>
    </row>
    <row r="184" customFormat="false" ht="15" hidden="false" customHeight="false" outlineLevel="0" collapsed="false">
      <c r="A184" s="16" t="s">
        <v>45</v>
      </c>
      <c r="B184" s="17" t="n">
        <v>8</v>
      </c>
      <c r="C184" s="17" t="s">
        <v>70</v>
      </c>
      <c r="D184" s="16" t="s">
        <v>68</v>
      </c>
      <c r="E184" s="17" t="n">
        <v>2</v>
      </c>
      <c r="F184" s="26" t="n">
        <v>2.15344257297157E-006</v>
      </c>
      <c r="G184" s="17" t="n">
        <v>21</v>
      </c>
      <c r="H184" s="17" t="n">
        <v>1200</v>
      </c>
      <c r="I184" s="17"/>
      <c r="J184" s="17" t="n">
        <v>5</v>
      </c>
      <c r="K184" s="17"/>
      <c r="L184" s="17"/>
      <c r="M184" s="17" t="n">
        <v>2</v>
      </c>
      <c r="N184" s="27" t="str">
        <f aca="false">IF(F184=_xlfn.MINIFS($F$2:$F$948,$A$2:$A$948,$A184,$B$2:$B$948,$B184),"BEST","")</f>
        <v>BEST</v>
      </c>
    </row>
    <row r="185" customFormat="false" ht="15" hidden="false" customHeight="false" outlineLevel="0" collapsed="false">
      <c r="A185" s="16" t="s">
        <v>45</v>
      </c>
      <c r="B185" s="17" t="n">
        <v>8</v>
      </c>
      <c r="C185" s="17" t="s">
        <v>70</v>
      </c>
      <c r="D185" s="16" t="s">
        <v>68</v>
      </c>
      <c r="E185" s="17" t="n">
        <v>3</v>
      </c>
      <c r="F185" s="26" t="n">
        <v>2.15344257297157E-006</v>
      </c>
      <c r="G185" s="17" t="n">
        <v>21</v>
      </c>
      <c r="H185" s="17" t="n">
        <v>1200</v>
      </c>
      <c r="I185" s="17"/>
      <c r="J185" s="17" t="n">
        <v>5</v>
      </c>
      <c r="K185" s="17"/>
      <c r="L185" s="17"/>
      <c r="M185" s="17" t="n">
        <v>2</v>
      </c>
      <c r="N185" s="27" t="str">
        <f aca="false">IF(F185=_xlfn.MINIFS($F$2:$F$948,$A$2:$A$948,$A185,$B$2:$B$948,$B185),"BEST","")</f>
        <v>BEST</v>
      </c>
    </row>
    <row r="186" customFormat="false" ht="15" hidden="false" customHeight="false" outlineLevel="0" collapsed="false">
      <c r="A186" s="16" t="s">
        <v>45</v>
      </c>
      <c r="B186" s="17" t="n">
        <v>8</v>
      </c>
      <c r="C186" s="17" t="s">
        <v>70</v>
      </c>
      <c r="D186" s="16" t="s">
        <v>68</v>
      </c>
      <c r="E186" s="17" t="n">
        <v>4</v>
      </c>
      <c r="F186" s="26" t="n">
        <v>2.15344257297157E-006</v>
      </c>
      <c r="G186" s="17" t="n">
        <v>21</v>
      </c>
      <c r="H186" s="17" t="n">
        <v>1200</v>
      </c>
      <c r="I186" s="17"/>
      <c r="J186" s="17" t="n">
        <v>5</v>
      </c>
      <c r="K186" s="17"/>
      <c r="L186" s="17"/>
      <c r="M186" s="17" t="n">
        <v>2</v>
      </c>
      <c r="N186" s="27" t="str">
        <f aca="false">IF(F186=_xlfn.MINIFS($F$2:$F$948,$A$2:$A$948,$A186,$B$2:$B$948,$B186),"BEST","")</f>
        <v>BEST</v>
      </c>
    </row>
    <row r="187" customFormat="false" ht="15" hidden="false" customHeight="false" outlineLevel="0" collapsed="false">
      <c r="A187" s="16" t="s">
        <v>45</v>
      </c>
      <c r="B187" s="17" t="n">
        <v>8</v>
      </c>
      <c r="C187" s="17" t="s">
        <v>70</v>
      </c>
      <c r="D187" s="16" t="s">
        <v>68</v>
      </c>
      <c r="E187" s="17" t="n">
        <v>5</v>
      </c>
      <c r="F187" s="26" t="n">
        <v>2.15344257297157E-006</v>
      </c>
      <c r="G187" s="17" t="n">
        <v>21</v>
      </c>
      <c r="H187" s="17" t="n">
        <v>1200</v>
      </c>
      <c r="I187" s="17"/>
      <c r="J187" s="17" t="n">
        <v>5</v>
      </c>
      <c r="K187" s="17"/>
      <c r="L187" s="17"/>
      <c r="M187" s="17" t="n">
        <v>2</v>
      </c>
      <c r="N187" s="27" t="str">
        <f aca="false">IF(F187=_xlfn.MINIFS($F$2:$F$948,$A$2:$A$948,$A187,$B$2:$B$948,$B187),"BEST","")</f>
        <v>BEST</v>
      </c>
    </row>
    <row r="188" customFormat="false" ht="15" hidden="false" customHeight="false" outlineLevel="0" collapsed="false">
      <c r="A188" s="16" t="s">
        <v>45</v>
      </c>
      <c r="B188" s="17" t="n">
        <v>8</v>
      </c>
      <c r="C188" s="17" t="s">
        <v>70</v>
      </c>
      <c r="D188" s="16" t="s">
        <v>68</v>
      </c>
      <c r="E188" s="17" t="n">
        <v>6</v>
      </c>
      <c r="F188" s="26" t="n">
        <v>2.15344257297157E-006</v>
      </c>
      <c r="G188" s="17" t="n">
        <v>21</v>
      </c>
      <c r="H188" s="17" t="n">
        <v>1200</v>
      </c>
      <c r="I188" s="17"/>
      <c r="J188" s="17" t="n">
        <v>5</v>
      </c>
      <c r="K188" s="17"/>
      <c r="L188" s="17"/>
      <c r="M188" s="17" t="n">
        <v>2</v>
      </c>
      <c r="N188" s="27" t="str">
        <f aca="false">IF(F188=_xlfn.MINIFS($F$2:$F$948,$A$2:$A$948,$A188,$B$2:$B$948,$B188),"BEST","")</f>
        <v>BEST</v>
      </c>
    </row>
    <row r="189" customFormat="false" ht="15" hidden="false" customHeight="false" outlineLevel="0" collapsed="false">
      <c r="A189" s="16" t="s">
        <v>45</v>
      </c>
      <c r="B189" s="17" t="n">
        <v>8</v>
      </c>
      <c r="C189" s="17" t="s">
        <v>70</v>
      </c>
      <c r="D189" s="16" t="s">
        <v>68</v>
      </c>
      <c r="E189" s="17" t="n">
        <v>7</v>
      </c>
      <c r="F189" s="26" t="n">
        <v>2.15344257297157E-006</v>
      </c>
      <c r="G189" s="17" t="n">
        <v>21</v>
      </c>
      <c r="H189" s="17" t="n">
        <v>1200</v>
      </c>
      <c r="I189" s="17"/>
      <c r="J189" s="17" t="n">
        <v>5</v>
      </c>
      <c r="K189" s="17"/>
      <c r="L189" s="17"/>
      <c r="M189" s="17" t="n">
        <v>2</v>
      </c>
      <c r="N189" s="27" t="str">
        <f aca="false">IF(F189=_xlfn.MINIFS($F$2:$F$948,$A$2:$A$948,$A189,$B$2:$B$948,$B189),"BEST","")</f>
        <v>BEST</v>
      </c>
    </row>
    <row r="190" customFormat="false" ht="15" hidden="false" customHeight="false" outlineLevel="0" collapsed="false">
      <c r="A190" s="16" t="s">
        <v>45</v>
      </c>
      <c r="B190" s="17" t="n">
        <v>8</v>
      </c>
      <c r="C190" s="17" t="s">
        <v>70</v>
      </c>
      <c r="D190" s="16" t="s">
        <v>68</v>
      </c>
      <c r="E190" s="17" t="n">
        <v>8</v>
      </c>
      <c r="F190" s="26" t="n">
        <v>2.15344257297157E-006</v>
      </c>
      <c r="G190" s="17" t="n">
        <v>21</v>
      </c>
      <c r="H190" s="17" t="n">
        <v>1200</v>
      </c>
      <c r="I190" s="17"/>
      <c r="J190" s="17" t="n">
        <v>5</v>
      </c>
      <c r="K190" s="17"/>
      <c r="L190" s="17"/>
      <c r="M190" s="17" t="n">
        <v>2</v>
      </c>
      <c r="N190" s="27" t="str">
        <f aca="false">IF(F190=_xlfn.MINIFS($F$2:$F$948,$A$2:$A$948,$A190,$B$2:$B$948,$B190),"BEST","")</f>
        <v>BEST</v>
      </c>
    </row>
    <row r="191" customFormat="false" ht="15" hidden="false" customHeight="false" outlineLevel="0" collapsed="false">
      <c r="A191" s="16" t="s">
        <v>45</v>
      </c>
      <c r="B191" s="17" t="n">
        <v>8</v>
      </c>
      <c r="C191" s="17" t="s">
        <v>70</v>
      </c>
      <c r="D191" s="16" t="s">
        <v>68</v>
      </c>
      <c r="E191" s="17" t="n">
        <v>9</v>
      </c>
      <c r="F191" s="26" t="n">
        <v>2.15344257297157E-006</v>
      </c>
      <c r="G191" s="17" t="n">
        <v>21</v>
      </c>
      <c r="H191" s="17" t="n">
        <v>1200</v>
      </c>
      <c r="I191" s="17"/>
      <c r="J191" s="17" t="n">
        <v>5</v>
      </c>
      <c r="K191" s="17"/>
      <c r="L191" s="17"/>
      <c r="M191" s="17" t="n">
        <v>2</v>
      </c>
      <c r="N191" s="27" t="str">
        <f aca="false">IF(F191=_xlfn.MINIFS($F$2:$F$948,$A$2:$A$948,$A191,$B$2:$B$948,$B191),"BEST","")</f>
        <v>BEST</v>
      </c>
    </row>
    <row r="192" customFormat="false" ht="15" hidden="false" customHeight="false" outlineLevel="0" collapsed="false">
      <c r="A192" s="16" t="s">
        <v>45</v>
      </c>
      <c r="B192" s="17" t="n">
        <v>8</v>
      </c>
      <c r="C192" s="17" t="s">
        <v>70</v>
      </c>
      <c r="D192" s="16" t="s">
        <v>68</v>
      </c>
      <c r="E192" s="17" t="n">
        <v>10</v>
      </c>
      <c r="F192" s="26" t="n">
        <v>2.15344257297157E-006</v>
      </c>
      <c r="G192" s="17" t="n">
        <v>21</v>
      </c>
      <c r="H192" s="17" t="n">
        <v>1200</v>
      </c>
      <c r="I192" s="17"/>
      <c r="J192" s="17" t="n">
        <v>5</v>
      </c>
      <c r="K192" s="17"/>
      <c r="L192" s="17"/>
      <c r="M192" s="17" t="n">
        <v>2</v>
      </c>
      <c r="N192" s="27" t="str">
        <f aca="false">IF(F192=_xlfn.MINIFS($F$2:$F$948,$A$2:$A$948,$A192,$B$2:$B$948,$B192),"BEST","")</f>
        <v>BEST</v>
      </c>
    </row>
    <row r="193" customFormat="false" ht="15" hidden="false" customHeight="false" outlineLevel="0" collapsed="false">
      <c r="A193" s="16" t="s">
        <v>45</v>
      </c>
      <c r="B193" s="17" t="n">
        <v>8</v>
      </c>
      <c r="C193" s="17" t="s">
        <v>70</v>
      </c>
      <c r="D193" s="16" t="s">
        <v>68</v>
      </c>
      <c r="E193" s="17" t="n">
        <v>11</v>
      </c>
      <c r="F193" s="26" t="n">
        <v>2.15344257297157E-006</v>
      </c>
      <c r="G193" s="17" t="n">
        <v>21</v>
      </c>
      <c r="H193" s="17" t="n">
        <v>1200</v>
      </c>
      <c r="I193" s="17"/>
      <c r="J193" s="17" t="n">
        <v>5</v>
      </c>
      <c r="K193" s="17"/>
      <c r="L193" s="17"/>
      <c r="M193" s="17" t="n">
        <v>2</v>
      </c>
      <c r="N193" s="27" t="str">
        <f aca="false">IF(F193=_xlfn.MINIFS($F$2:$F$948,$A$2:$A$948,$A193,$B$2:$B$948,$B193),"BEST","")</f>
        <v>BEST</v>
      </c>
    </row>
    <row r="194" customFormat="false" ht="15" hidden="false" customHeight="false" outlineLevel="0" collapsed="false">
      <c r="A194" s="16" t="s">
        <v>45</v>
      </c>
      <c r="B194" s="17" t="n">
        <v>8</v>
      </c>
      <c r="C194" s="17" t="s">
        <v>70</v>
      </c>
      <c r="D194" s="16" t="s">
        <v>68</v>
      </c>
      <c r="E194" s="17" t="n">
        <v>12</v>
      </c>
      <c r="F194" s="26" t="n">
        <v>2.15344257297157E-006</v>
      </c>
      <c r="G194" s="17" t="n">
        <v>21</v>
      </c>
      <c r="H194" s="17" t="n">
        <v>1200</v>
      </c>
      <c r="I194" s="17"/>
      <c r="J194" s="17" t="n">
        <v>5</v>
      </c>
      <c r="K194" s="17"/>
      <c r="L194" s="17"/>
      <c r="M194" s="17" t="n">
        <v>2</v>
      </c>
      <c r="N194" s="27" t="str">
        <f aca="false">IF(F194=_xlfn.MINIFS($F$2:$F$948,$A$2:$A$948,$A194,$B$2:$B$948,$B194),"BEST","")</f>
        <v>BEST</v>
      </c>
    </row>
    <row r="195" customFormat="false" ht="15" hidden="false" customHeight="false" outlineLevel="0" collapsed="false">
      <c r="A195" s="16" t="s">
        <v>45</v>
      </c>
      <c r="B195" s="17" t="n">
        <v>8</v>
      </c>
      <c r="C195" s="17" t="s">
        <v>70</v>
      </c>
      <c r="D195" s="16" t="s">
        <v>68</v>
      </c>
      <c r="E195" s="17" t="n">
        <v>13</v>
      </c>
      <c r="F195" s="26" t="n">
        <v>2.15344257297157E-006</v>
      </c>
      <c r="G195" s="17" t="n">
        <v>21</v>
      </c>
      <c r="H195" s="17" t="n">
        <v>1200</v>
      </c>
      <c r="I195" s="17"/>
      <c r="J195" s="17" t="n">
        <v>5</v>
      </c>
      <c r="K195" s="17"/>
      <c r="L195" s="17"/>
      <c r="M195" s="17" t="n">
        <v>2</v>
      </c>
      <c r="N195" s="27" t="str">
        <f aca="false">IF(F195=_xlfn.MINIFS($F$2:$F$948,$A$2:$A$948,$A195,$B$2:$B$948,$B195),"BEST","")</f>
        <v>BEST</v>
      </c>
    </row>
    <row r="196" customFormat="false" ht="15" hidden="false" customHeight="false" outlineLevel="0" collapsed="false">
      <c r="A196" s="16" t="s">
        <v>45</v>
      </c>
      <c r="B196" s="17" t="n">
        <v>8</v>
      </c>
      <c r="C196" s="17" t="s">
        <v>70</v>
      </c>
      <c r="D196" s="16" t="s">
        <v>68</v>
      </c>
      <c r="E196" s="17" t="n">
        <v>14</v>
      </c>
      <c r="F196" s="26" t="n">
        <v>2.15344257297157E-006</v>
      </c>
      <c r="G196" s="17" t="n">
        <v>21</v>
      </c>
      <c r="H196" s="17" t="n">
        <v>1200</v>
      </c>
      <c r="I196" s="17"/>
      <c r="J196" s="17" t="n">
        <v>5</v>
      </c>
      <c r="K196" s="17"/>
      <c r="L196" s="17"/>
      <c r="M196" s="17" t="n">
        <v>2</v>
      </c>
      <c r="N196" s="27" t="str">
        <f aca="false">IF(F196=_xlfn.MINIFS($F$2:$F$948,$A$2:$A$948,$A196,$B$2:$B$948,$B196),"BEST","")</f>
        <v>BEST</v>
      </c>
    </row>
    <row r="197" customFormat="false" ht="15" hidden="false" customHeight="false" outlineLevel="0" collapsed="false">
      <c r="A197" s="16" t="s">
        <v>45</v>
      </c>
      <c r="B197" s="17" t="n">
        <v>8</v>
      </c>
      <c r="C197" s="17" t="s">
        <v>70</v>
      </c>
      <c r="D197" s="16" t="s">
        <v>68</v>
      </c>
      <c r="E197" s="17" t="n">
        <v>15</v>
      </c>
      <c r="F197" s="26" t="n">
        <v>2.15344257297157E-006</v>
      </c>
      <c r="G197" s="17" t="n">
        <v>21</v>
      </c>
      <c r="H197" s="17" t="n">
        <v>1200</v>
      </c>
      <c r="I197" s="17"/>
      <c r="J197" s="17" t="n">
        <v>5</v>
      </c>
      <c r="K197" s="17"/>
      <c r="L197" s="17"/>
      <c r="M197" s="17" t="n">
        <v>2</v>
      </c>
      <c r="N197" s="27" t="str">
        <f aca="false">IF(F197=_xlfn.MINIFS($F$2:$F$948,$A$2:$A$948,$A197,$B$2:$B$948,$B197),"BEST","")</f>
        <v>BEST</v>
      </c>
    </row>
    <row r="198" customFormat="false" ht="15" hidden="false" customHeight="false" outlineLevel="0" collapsed="false">
      <c r="A198" s="16" t="s">
        <v>45</v>
      </c>
      <c r="B198" s="17" t="n">
        <v>8</v>
      </c>
      <c r="C198" s="17" t="s">
        <v>70</v>
      </c>
      <c r="D198" s="16" t="s">
        <v>68</v>
      </c>
      <c r="E198" s="17" t="n">
        <v>16</v>
      </c>
      <c r="F198" s="26" t="n">
        <v>2.15344257297157E-006</v>
      </c>
      <c r="G198" s="17" t="n">
        <v>21</v>
      </c>
      <c r="H198" s="17" t="n">
        <v>1200</v>
      </c>
      <c r="I198" s="17"/>
      <c r="J198" s="17" t="n">
        <v>5</v>
      </c>
      <c r="K198" s="17"/>
      <c r="L198" s="17"/>
      <c r="M198" s="17" t="n">
        <v>2</v>
      </c>
      <c r="N198" s="27" t="str">
        <f aca="false">IF(F198=_xlfn.MINIFS($F$2:$F$948,$A$2:$A$948,$A198,$B$2:$B$948,$B198),"BEST","")</f>
        <v>BEST</v>
      </c>
    </row>
    <row r="199" customFormat="false" ht="15" hidden="false" customHeight="false" outlineLevel="0" collapsed="false">
      <c r="A199" s="16" t="s">
        <v>45</v>
      </c>
      <c r="B199" s="17" t="n">
        <v>8</v>
      </c>
      <c r="C199" s="17" t="s">
        <v>70</v>
      </c>
      <c r="D199" s="16" t="s">
        <v>68</v>
      </c>
      <c r="E199" s="17" t="n">
        <v>17</v>
      </c>
      <c r="F199" s="26" t="n">
        <v>2.15344257297157E-006</v>
      </c>
      <c r="G199" s="17" t="n">
        <v>21</v>
      </c>
      <c r="H199" s="17" t="n">
        <v>1200</v>
      </c>
      <c r="I199" s="17"/>
      <c r="J199" s="17" t="n">
        <v>5</v>
      </c>
      <c r="K199" s="17"/>
      <c r="L199" s="17"/>
      <c r="M199" s="17" t="n">
        <v>2</v>
      </c>
      <c r="N199" s="27" t="str">
        <f aca="false">IF(F199=_xlfn.MINIFS($F$2:$F$948,$A$2:$A$948,$A199,$B$2:$B$948,$B199),"BEST","")</f>
        <v>BEST</v>
      </c>
    </row>
    <row r="200" customFormat="false" ht="15" hidden="false" customHeight="false" outlineLevel="0" collapsed="false">
      <c r="A200" s="16" t="s">
        <v>45</v>
      </c>
      <c r="B200" s="17" t="n">
        <v>8</v>
      </c>
      <c r="C200" s="17" t="s">
        <v>70</v>
      </c>
      <c r="D200" s="16" t="s">
        <v>68</v>
      </c>
      <c r="E200" s="17" t="n">
        <v>18</v>
      </c>
      <c r="F200" s="26" t="n">
        <v>2.15344257297157E-006</v>
      </c>
      <c r="G200" s="17" t="n">
        <v>21</v>
      </c>
      <c r="H200" s="17" t="n">
        <v>1200</v>
      </c>
      <c r="I200" s="17"/>
      <c r="J200" s="17" t="n">
        <v>5</v>
      </c>
      <c r="K200" s="17"/>
      <c r="L200" s="17"/>
      <c r="M200" s="17" t="n">
        <v>2</v>
      </c>
      <c r="N200" s="27" t="str">
        <f aca="false">IF(F200=_xlfn.MINIFS($F$2:$F$948,$A$2:$A$948,$A200,$B$2:$B$948,$B200),"BEST","")</f>
        <v>BEST</v>
      </c>
    </row>
    <row r="201" customFormat="false" ht="15" hidden="false" customHeight="false" outlineLevel="0" collapsed="false">
      <c r="A201" s="16" t="s">
        <v>45</v>
      </c>
      <c r="B201" s="17" t="n">
        <v>8</v>
      </c>
      <c r="C201" s="17" t="s">
        <v>70</v>
      </c>
      <c r="D201" s="16" t="s">
        <v>68</v>
      </c>
      <c r="E201" s="17" t="n">
        <v>19</v>
      </c>
      <c r="F201" s="26" t="n">
        <v>2.15344257297157E-006</v>
      </c>
      <c r="G201" s="17" t="n">
        <v>21</v>
      </c>
      <c r="H201" s="17" t="n">
        <v>1200</v>
      </c>
      <c r="I201" s="17"/>
      <c r="J201" s="17" t="n">
        <v>5</v>
      </c>
      <c r="K201" s="17"/>
      <c r="L201" s="17"/>
      <c r="M201" s="17" t="n">
        <v>2</v>
      </c>
      <c r="N201" s="27" t="str">
        <f aca="false">IF(F201=_xlfn.MINIFS($F$2:$F$948,$A$2:$A$948,$A201,$B$2:$B$948,$B201),"BEST","")</f>
        <v>BEST</v>
      </c>
    </row>
    <row r="202" customFormat="false" ht="15" hidden="false" customHeight="false" outlineLevel="0" collapsed="false">
      <c r="A202" s="22" t="s">
        <v>45</v>
      </c>
      <c r="B202" s="23" t="n">
        <v>8</v>
      </c>
      <c r="C202" s="23" t="s">
        <v>71</v>
      </c>
      <c r="D202" s="22" t="s">
        <v>72</v>
      </c>
      <c r="E202" s="23" t="n">
        <v>0</v>
      </c>
      <c r="F202" s="28" t="n">
        <v>0.00456432486342311</v>
      </c>
      <c r="G202" s="23" t="n">
        <v>128</v>
      </c>
      <c r="H202" s="23" t="n">
        <v>1200</v>
      </c>
      <c r="I202" s="23" t="n">
        <v>4</v>
      </c>
      <c r="J202" s="23" t="n">
        <v>5</v>
      </c>
      <c r="K202" s="22" t="s">
        <v>73</v>
      </c>
      <c r="L202" s="22" t="s">
        <v>74</v>
      </c>
      <c r="M202" s="23"/>
      <c r="N202" s="27" t="str">
        <f aca="false">IF(F202=_xlfn.MINIFS($F$2:$F$948,$A$2:$A$948,$A202,$B$2:$B$948,$B202),"BEST","")</f>
        <v/>
      </c>
    </row>
    <row r="203" customFormat="false" ht="15" hidden="false" customHeight="false" outlineLevel="0" collapsed="false">
      <c r="A203" s="22" t="s">
        <v>45</v>
      </c>
      <c r="B203" s="23" t="n">
        <v>8</v>
      </c>
      <c r="C203" s="23" t="s">
        <v>71</v>
      </c>
      <c r="D203" s="22" t="s">
        <v>72</v>
      </c>
      <c r="E203" s="23" t="n">
        <v>1</v>
      </c>
      <c r="F203" s="28" t="n">
        <v>0.00480076557381564</v>
      </c>
      <c r="G203" s="23" t="n">
        <v>128</v>
      </c>
      <c r="H203" s="23" t="n">
        <v>1200</v>
      </c>
      <c r="I203" s="23" t="n">
        <v>4</v>
      </c>
      <c r="J203" s="23" t="n">
        <v>5</v>
      </c>
      <c r="K203" s="22" t="s">
        <v>73</v>
      </c>
      <c r="L203" s="22" t="s">
        <v>74</v>
      </c>
      <c r="M203" s="23"/>
      <c r="N203" s="27" t="str">
        <f aca="false">IF(F203=_xlfn.MINIFS($F$2:$F$948,$A$2:$A$948,$A203,$B$2:$B$948,$B203),"BEST","")</f>
        <v/>
      </c>
    </row>
    <row r="204" customFormat="false" ht="15" hidden="false" customHeight="false" outlineLevel="0" collapsed="false">
      <c r="A204" s="22" t="s">
        <v>45</v>
      </c>
      <c r="B204" s="23" t="n">
        <v>8</v>
      </c>
      <c r="C204" s="23" t="s">
        <v>71</v>
      </c>
      <c r="D204" s="22" t="s">
        <v>72</v>
      </c>
      <c r="E204" s="23" t="n">
        <v>2</v>
      </c>
      <c r="F204" s="28" t="n">
        <v>0.0044346117719265</v>
      </c>
      <c r="G204" s="23" t="n">
        <v>128</v>
      </c>
      <c r="H204" s="23" t="n">
        <v>1200</v>
      </c>
      <c r="I204" s="23" t="n">
        <v>4</v>
      </c>
      <c r="J204" s="23" t="n">
        <v>5</v>
      </c>
      <c r="K204" s="22" t="s">
        <v>73</v>
      </c>
      <c r="L204" s="22" t="s">
        <v>74</v>
      </c>
      <c r="M204" s="23"/>
      <c r="N204" s="27" t="str">
        <f aca="false">IF(F204=_xlfn.MINIFS($F$2:$F$948,$A$2:$A$948,$A204,$B$2:$B$948,$B204),"BEST","")</f>
        <v/>
      </c>
    </row>
    <row r="205" customFormat="false" ht="15" hidden="false" customHeight="false" outlineLevel="0" collapsed="false">
      <c r="A205" s="22" t="s">
        <v>45</v>
      </c>
      <c r="B205" s="23" t="n">
        <v>8</v>
      </c>
      <c r="C205" s="23" t="s">
        <v>71</v>
      </c>
      <c r="D205" s="22" t="s">
        <v>72</v>
      </c>
      <c r="E205" s="23" t="n">
        <v>3</v>
      </c>
      <c r="F205" s="28" t="n">
        <v>0.00443149885108515</v>
      </c>
      <c r="G205" s="23" t="n">
        <v>128</v>
      </c>
      <c r="H205" s="23" t="n">
        <v>1200</v>
      </c>
      <c r="I205" s="23" t="n">
        <v>4</v>
      </c>
      <c r="J205" s="23" t="n">
        <v>5</v>
      </c>
      <c r="K205" s="22" t="s">
        <v>73</v>
      </c>
      <c r="L205" s="22" t="s">
        <v>74</v>
      </c>
      <c r="M205" s="23"/>
      <c r="N205" s="27" t="str">
        <f aca="false">IF(F205=_xlfn.MINIFS($F$2:$F$948,$A$2:$A$948,$A205,$B$2:$B$948,$B205),"BEST","")</f>
        <v/>
      </c>
    </row>
    <row r="206" customFormat="false" ht="15" hidden="false" customHeight="false" outlineLevel="0" collapsed="false">
      <c r="A206" s="22" t="s">
        <v>45</v>
      </c>
      <c r="B206" s="23" t="n">
        <v>8</v>
      </c>
      <c r="C206" s="23" t="s">
        <v>71</v>
      </c>
      <c r="D206" s="22" t="s">
        <v>72</v>
      </c>
      <c r="E206" s="23" t="n">
        <v>4</v>
      </c>
      <c r="F206" s="28" t="n">
        <v>0.00444596554659509</v>
      </c>
      <c r="G206" s="23" t="n">
        <v>128</v>
      </c>
      <c r="H206" s="23" t="n">
        <v>1200</v>
      </c>
      <c r="I206" s="23" t="n">
        <v>4</v>
      </c>
      <c r="J206" s="23" t="n">
        <v>5</v>
      </c>
      <c r="K206" s="22" t="s">
        <v>73</v>
      </c>
      <c r="L206" s="22" t="s">
        <v>74</v>
      </c>
      <c r="M206" s="23"/>
      <c r="N206" s="27" t="str">
        <f aca="false">IF(F206=_xlfn.MINIFS($F$2:$F$948,$A$2:$A$948,$A206,$B$2:$B$948,$B206),"BEST","")</f>
        <v/>
      </c>
    </row>
    <row r="207" customFormat="false" ht="15" hidden="false" customHeight="false" outlineLevel="0" collapsed="false">
      <c r="A207" s="22" t="s">
        <v>45</v>
      </c>
      <c r="B207" s="23" t="n">
        <v>8</v>
      </c>
      <c r="C207" s="23" t="s">
        <v>71</v>
      </c>
      <c r="D207" s="22" t="s">
        <v>72</v>
      </c>
      <c r="E207" s="23" t="n">
        <v>5</v>
      </c>
      <c r="F207" s="28" t="n">
        <v>0.00444616918972424</v>
      </c>
      <c r="G207" s="23" t="n">
        <v>128</v>
      </c>
      <c r="H207" s="23" t="n">
        <v>1200</v>
      </c>
      <c r="I207" s="23" t="n">
        <v>4</v>
      </c>
      <c r="J207" s="23" t="n">
        <v>5</v>
      </c>
      <c r="K207" s="22" t="s">
        <v>73</v>
      </c>
      <c r="L207" s="22" t="s">
        <v>74</v>
      </c>
      <c r="M207" s="23"/>
      <c r="N207" s="27" t="str">
        <f aca="false">IF(F207=_xlfn.MINIFS($F$2:$F$948,$A$2:$A$948,$A207,$B$2:$B$948,$B207),"BEST","")</f>
        <v/>
      </c>
    </row>
    <row r="208" customFormat="false" ht="15" hidden="false" customHeight="false" outlineLevel="0" collapsed="false">
      <c r="A208" s="22" t="s">
        <v>45</v>
      </c>
      <c r="B208" s="23" t="n">
        <v>8</v>
      </c>
      <c r="C208" s="23" t="s">
        <v>71</v>
      </c>
      <c r="D208" s="22" t="s">
        <v>72</v>
      </c>
      <c r="E208" s="23" t="n">
        <v>6</v>
      </c>
      <c r="F208" s="28" t="n">
        <v>0.0046403487427414</v>
      </c>
      <c r="G208" s="23" t="n">
        <v>128</v>
      </c>
      <c r="H208" s="23" t="n">
        <v>1200</v>
      </c>
      <c r="I208" s="23" t="n">
        <v>4</v>
      </c>
      <c r="J208" s="23" t="n">
        <v>5</v>
      </c>
      <c r="K208" s="22" t="s">
        <v>73</v>
      </c>
      <c r="L208" s="22" t="s">
        <v>74</v>
      </c>
      <c r="M208" s="23"/>
      <c r="N208" s="27" t="str">
        <f aca="false">IF(F208=_xlfn.MINIFS($F$2:$F$948,$A$2:$A$948,$A208,$B$2:$B$948,$B208),"BEST","")</f>
        <v/>
      </c>
    </row>
    <row r="209" customFormat="false" ht="15" hidden="false" customHeight="false" outlineLevel="0" collapsed="false">
      <c r="A209" s="22" t="s">
        <v>45</v>
      </c>
      <c r="B209" s="23" t="n">
        <v>8</v>
      </c>
      <c r="C209" s="23" t="s">
        <v>71</v>
      </c>
      <c r="D209" s="22" t="s">
        <v>72</v>
      </c>
      <c r="E209" s="23" t="n">
        <v>7</v>
      </c>
      <c r="F209" s="28" t="n">
        <v>0.0046675735259378</v>
      </c>
      <c r="G209" s="23" t="n">
        <v>128</v>
      </c>
      <c r="H209" s="23" t="n">
        <v>1200</v>
      </c>
      <c r="I209" s="23" t="n">
        <v>4</v>
      </c>
      <c r="J209" s="23" t="n">
        <v>5</v>
      </c>
      <c r="K209" s="22" t="s">
        <v>73</v>
      </c>
      <c r="L209" s="22" t="s">
        <v>74</v>
      </c>
      <c r="M209" s="23"/>
      <c r="N209" s="27" t="str">
        <f aca="false">IF(F209=_xlfn.MINIFS($F$2:$F$948,$A$2:$A$948,$A209,$B$2:$B$948,$B209),"BEST","")</f>
        <v/>
      </c>
    </row>
    <row r="210" customFormat="false" ht="15" hidden="false" customHeight="false" outlineLevel="0" collapsed="false">
      <c r="A210" s="22" t="s">
        <v>45</v>
      </c>
      <c r="B210" s="23" t="n">
        <v>8</v>
      </c>
      <c r="C210" s="23" t="s">
        <v>71</v>
      </c>
      <c r="D210" s="22" t="s">
        <v>72</v>
      </c>
      <c r="E210" s="23" t="n">
        <v>8</v>
      </c>
      <c r="F210" s="28" t="n">
        <v>0.00468994951707928</v>
      </c>
      <c r="G210" s="23" t="n">
        <v>128</v>
      </c>
      <c r="H210" s="23" t="n">
        <v>1200</v>
      </c>
      <c r="I210" s="23" t="n">
        <v>4</v>
      </c>
      <c r="J210" s="23" t="n">
        <v>5</v>
      </c>
      <c r="K210" s="22" t="s">
        <v>73</v>
      </c>
      <c r="L210" s="22" t="s">
        <v>74</v>
      </c>
      <c r="M210" s="23"/>
      <c r="N210" s="27" t="str">
        <f aca="false">IF(F210=_xlfn.MINIFS($F$2:$F$948,$A$2:$A$948,$A210,$B$2:$B$948,$B210),"BEST","")</f>
        <v/>
      </c>
    </row>
    <row r="211" customFormat="false" ht="15" hidden="false" customHeight="false" outlineLevel="0" collapsed="false">
      <c r="A211" s="22" t="s">
        <v>45</v>
      </c>
      <c r="B211" s="23" t="n">
        <v>8</v>
      </c>
      <c r="C211" s="23" t="s">
        <v>71</v>
      </c>
      <c r="D211" s="22" t="s">
        <v>72</v>
      </c>
      <c r="E211" s="23" t="n">
        <v>9</v>
      </c>
      <c r="F211" s="28" t="n">
        <v>0.00445871127879319</v>
      </c>
      <c r="G211" s="23" t="n">
        <v>128</v>
      </c>
      <c r="H211" s="23" t="n">
        <v>1200</v>
      </c>
      <c r="I211" s="23" t="n">
        <v>4</v>
      </c>
      <c r="J211" s="23" t="n">
        <v>5</v>
      </c>
      <c r="K211" s="22" t="s">
        <v>73</v>
      </c>
      <c r="L211" s="22" t="s">
        <v>74</v>
      </c>
      <c r="M211" s="23"/>
      <c r="N211" s="27" t="str">
        <f aca="false">IF(F211=_xlfn.MINIFS($F$2:$F$948,$A$2:$A$948,$A211,$B$2:$B$948,$B211),"BEST","")</f>
        <v/>
      </c>
    </row>
    <row r="212" customFormat="false" ht="15" hidden="false" customHeight="false" outlineLevel="0" collapsed="false">
      <c r="A212" s="16" t="s">
        <v>45</v>
      </c>
      <c r="B212" s="17" t="n">
        <v>10</v>
      </c>
      <c r="C212" s="17" t="s">
        <v>67</v>
      </c>
      <c r="D212" s="16" t="s">
        <v>68</v>
      </c>
      <c r="E212" s="17" t="n">
        <v>0</v>
      </c>
      <c r="F212" s="26" t="n">
        <v>0.00186839150976994</v>
      </c>
      <c r="G212" s="17" t="n">
        <v>160</v>
      </c>
      <c r="H212" s="17" t="n">
        <v>600</v>
      </c>
      <c r="I212" s="17"/>
      <c r="J212" s="17" t="n">
        <v>5</v>
      </c>
      <c r="K212" s="17"/>
      <c r="L212" s="17"/>
      <c r="M212" s="17"/>
      <c r="N212" s="27" t="str">
        <f aca="false">IF(F212=_xlfn.MINIFS($F$2:$F$948,$A$2:$A$948,$A212,$B$2:$B$948,$B212),"BEST","")</f>
        <v/>
      </c>
    </row>
    <row r="213" customFormat="false" ht="15" hidden="false" customHeight="false" outlineLevel="0" collapsed="false">
      <c r="A213" s="16" t="s">
        <v>45</v>
      </c>
      <c r="B213" s="17" t="n">
        <v>10</v>
      </c>
      <c r="C213" s="17" t="s">
        <v>67</v>
      </c>
      <c r="D213" s="16" t="s">
        <v>68</v>
      </c>
      <c r="E213" s="17" t="n">
        <v>1</v>
      </c>
      <c r="F213" s="26" t="n">
        <v>0.000731630318061708</v>
      </c>
      <c r="G213" s="17" t="n">
        <v>160</v>
      </c>
      <c r="H213" s="17" t="n">
        <v>600</v>
      </c>
      <c r="I213" s="17"/>
      <c r="J213" s="17" t="n">
        <v>5</v>
      </c>
      <c r="K213" s="17"/>
      <c r="L213" s="17"/>
      <c r="M213" s="17"/>
      <c r="N213" s="27" t="str">
        <f aca="false">IF(F213=_xlfn.MINIFS($F$2:$F$948,$A$2:$A$948,$A213,$B$2:$B$948,$B213),"BEST","")</f>
        <v/>
      </c>
    </row>
    <row r="214" customFormat="false" ht="15" hidden="false" customHeight="false" outlineLevel="0" collapsed="false">
      <c r="A214" s="16" t="s">
        <v>45</v>
      </c>
      <c r="B214" s="17" t="n">
        <v>10</v>
      </c>
      <c r="C214" s="17" t="s">
        <v>67</v>
      </c>
      <c r="D214" s="16" t="s">
        <v>68</v>
      </c>
      <c r="E214" s="17" t="n">
        <v>2</v>
      </c>
      <c r="F214" s="26" t="n">
        <v>0.000999972249806844</v>
      </c>
      <c r="G214" s="17" t="n">
        <v>160</v>
      </c>
      <c r="H214" s="17" t="n">
        <v>600</v>
      </c>
      <c r="I214" s="17"/>
      <c r="J214" s="17" t="n">
        <v>5</v>
      </c>
      <c r="K214" s="17"/>
      <c r="L214" s="17"/>
      <c r="M214" s="17"/>
      <c r="N214" s="27" t="str">
        <f aca="false">IF(F214=_xlfn.MINIFS($F$2:$F$948,$A$2:$A$948,$A214,$B$2:$B$948,$B214),"BEST","")</f>
        <v/>
      </c>
    </row>
    <row r="215" customFormat="false" ht="15" hidden="false" customHeight="false" outlineLevel="0" collapsed="false">
      <c r="A215" s="16" t="s">
        <v>45</v>
      </c>
      <c r="B215" s="17" t="n">
        <v>10</v>
      </c>
      <c r="C215" s="17" t="s">
        <v>67</v>
      </c>
      <c r="D215" s="16" t="s">
        <v>68</v>
      </c>
      <c r="E215" s="17" t="n">
        <v>3</v>
      </c>
      <c r="F215" s="26" t="n">
        <v>0.00105017583348514</v>
      </c>
      <c r="G215" s="17" t="n">
        <v>160</v>
      </c>
      <c r="H215" s="17" t="n">
        <v>600</v>
      </c>
      <c r="I215" s="17"/>
      <c r="J215" s="17" t="n">
        <v>5</v>
      </c>
      <c r="K215" s="17"/>
      <c r="L215" s="17"/>
      <c r="M215" s="17"/>
      <c r="N215" s="27" t="str">
        <f aca="false">IF(F215=_xlfn.MINIFS($F$2:$F$948,$A$2:$A$948,$A215,$B$2:$B$948,$B215),"BEST","")</f>
        <v/>
      </c>
    </row>
    <row r="216" customFormat="false" ht="15" hidden="false" customHeight="false" outlineLevel="0" collapsed="false">
      <c r="A216" s="16" t="s">
        <v>45</v>
      </c>
      <c r="B216" s="17" t="n">
        <v>10</v>
      </c>
      <c r="C216" s="17" t="s">
        <v>67</v>
      </c>
      <c r="D216" s="16" t="s">
        <v>68</v>
      </c>
      <c r="E216" s="17" t="n">
        <v>4</v>
      </c>
      <c r="F216" s="26" t="n">
        <v>0.000769172323277731</v>
      </c>
      <c r="G216" s="17" t="n">
        <v>160</v>
      </c>
      <c r="H216" s="17" t="n">
        <v>600</v>
      </c>
      <c r="I216" s="17"/>
      <c r="J216" s="17" t="n">
        <v>5</v>
      </c>
      <c r="K216" s="17"/>
      <c r="L216" s="17"/>
      <c r="M216" s="17"/>
      <c r="N216" s="27" t="str">
        <f aca="false">IF(F216=_xlfn.MINIFS($F$2:$F$948,$A$2:$A$948,$A216,$B$2:$B$948,$B216),"BEST","")</f>
        <v/>
      </c>
    </row>
    <row r="217" customFormat="false" ht="15" hidden="false" customHeight="false" outlineLevel="0" collapsed="false">
      <c r="A217" s="16" t="s">
        <v>45</v>
      </c>
      <c r="B217" s="17" t="n">
        <v>10</v>
      </c>
      <c r="C217" s="17" t="s">
        <v>67</v>
      </c>
      <c r="D217" s="16" t="s">
        <v>68</v>
      </c>
      <c r="E217" s="17" t="n">
        <v>5</v>
      </c>
      <c r="F217" s="26" t="n">
        <v>0.00105453316354275</v>
      </c>
      <c r="G217" s="17" t="n">
        <v>160</v>
      </c>
      <c r="H217" s="17" t="n">
        <v>600</v>
      </c>
      <c r="I217" s="17"/>
      <c r="J217" s="17" t="n">
        <v>5</v>
      </c>
      <c r="K217" s="17"/>
      <c r="L217" s="17"/>
      <c r="M217" s="17"/>
      <c r="N217" s="27" t="str">
        <f aca="false">IF(F217=_xlfn.MINIFS($F$2:$F$948,$A$2:$A$948,$A217,$B$2:$B$948,$B217),"BEST","")</f>
        <v/>
      </c>
    </row>
    <row r="218" customFormat="false" ht="15" hidden="false" customHeight="false" outlineLevel="0" collapsed="false">
      <c r="A218" s="16" t="s">
        <v>45</v>
      </c>
      <c r="B218" s="17" t="n">
        <v>10</v>
      </c>
      <c r="C218" s="17" t="s">
        <v>67</v>
      </c>
      <c r="D218" s="16" t="s">
        <v>68</v>
      </c>
      <c r="E218" s="17" t="n">
        <v>6</v>
      </c>
      <c r="F218" s="26" t="n">
        <v>0.000887084863746174</v>
      </c>
      <c r="G218" s="17" t="n">
        <v>160</v>
      </c>
      <c r="H218" s="17" t="n">
        <v>600</v>
      </c>
      <c r="I218" s="17"/>
      <c r="J218" s="17" t="n">
        <v>5</v>
      </c>
      <c r="K218" s="17"/>
      <c r="L218" s="17"/>
      <c r="M218" s="17"/>
      <c r="N218" s="27" t="str">
        <f aca="false">IF(F218=_xlfn.MINIFS($F$2:$F$948,$A$2:$A$948,$A218,$B$2:$B$948,$B218),"BEST","")</f>
        <v/>
      </c>
    </row>
    <row r="219" customFormat="false" ht="15" hidden="false" customHeight="false" outlineLevel="0" collapsed="false">
      <c r="A219" s="16" t="s">
        <v>45</v>
      </c>
      <c r="B219" s="17" t="n">
        <v>10</v>
      </c>
      <c r="C219" s="17" t="s">
        <v>67</v>
      </c>
      <c r="D219" s="16" t="s">
        <v>68</v>
      </c>
      <c r="E219" s="17" t="n">
        <v>7</v>
      </c>
      <c r="F219" s="26" t="n">
        <v>0.0012193872833658</v>
      </c>
      <c r="G219" s="17" t="n">
        <v>160</v>
      </c>
      <c r="H219" s="17" t="n">
        <v>600</v>
      </c>
      <c r="I219" s="17"/>
      <c r="J219" s="17" t="n">
        <v>5</v>
      </c>
      <c r="K219" s="17"/>
      <c r="L219" s="17"/>
      <c r="M219" s="17"/>
      <c r="N219" s="27" t="str">
        <f aca="false">IF(F219=_xlfn.MINIFS($F$2:$F$948,$A$2:$A$948,$A219,$B$2:$B$948,$B219),"BEST","")</f>
        <v/>
      </c>
    </row>
    <row r="220" customFormat="false" ht="15" hidden="false" customHeight="false" outlineLevel="0" collapsed="false">
      <c r="A220" s="16" t="s">
        <v>45</v>
      </c>
      <c r="B220" s="17" t="n">
        <v>10</v>
      </c>
      <c r="C220" s="17" t="s">
        <v>67</v>
      </c>
      <c r="D220" s="16" t="s">
        <v>68</v>
      </c>
      <c r="E220" s="17" t="n">
        <v>8</v>
      </c>
      <c r="F220" s="26" t="n">
        <v>0.00155825323291562</v>
      </c>
      <c r="G220" s="17" t="n">
        <v>160</v>
      </c>
      <c r="H220" s="17" t="n">
        <v>600</v>
      </c>
      <c r="I220" s="17"/>
      <c r="J220" s="17" t="n">
        <v>5</v>
      </c>
      <c r="K220" s="17"/>
      <c r="L220" s="17"/>
      <c r="M220" s="17"/>
      <c r="N220" s="27" t="str">
        <f aca="false">IF(F220=_xlfn.MINIFS($F$2:$F$948,$A$2:$A$948,$A220,$B$2:$B$948,$B220),"BEST","")</f>
        <v/>
      </c>
    </row>
    <row r="221" customFormat="false" ht="15" hidden="false" customHeight="false" outlineLevel="0" collapsed="false">
      <c r="A221" s="16" t="s">
        <v>45</v>
      </c>
      <c r="B221" s="17" t="n">
        <v>10</v>
      </c>
      <c r="C221" s="17" t="s">
        <v>67</v>
      </c>
      <c r="D221" s="16" t="s">
        <v>68</v>
      </c>
      <c r="E221" s="17" t="n">
        <v>9</v>
      </c>
      <c r="F221" s="26" t="n">
        <v>0.00118670696671304</v>
      </c>
      <c r="G221" s="17" t="n">
        <v>160</v>
      </c>
      <c r="H221" s="17" t="n">
        <v>600</v>
      </c>
      <c r="I221" s="17"/>
      <c r="J221" s="17" t="n">
        <v>5</v>
      </c>
      <c r="K221" s="17"/>
      <c r="L221" s="17"/>
      <c r="M221" s="17"/>
      <c r="N221" s="27" t="str">
        <f aca="false">IF(F221=_xlfn.MINIFS($F$2:$F$948,$A$2:$A$948,$A221,$B$2:$B$948,$B221),"BEST","")</f>
        <v/>
      </c>
    </row>
    <row r="222" customFormat="false" ht="15" hidden="false" customHeight="false" outlineLevel="0" collapsed="false">
      <c r="A222" s="16" t="s">
        <v>45</v>
      </c>
      <c r="B222" s="17" t="n">
        <v>10</v>
      </c>
      <c r="C222" s="17" t="s">
        <v>67</v>
      </c>
      <c r="D222" s="16" t="s">
        <v>68</v>
      </c>
      <c r="E222" s="17" t="n">
        <v>10</v>
      </c>
      <c r="F222" s="26" t="n">
        <v>0.00146722729019931</v>
      </c>
      <c r="G222" s="17" t="n">
        <v>160</v>
      </c>
      <c r="H222" s="17" t="n">
        <v>600</v>
      </c>
      <c r="I222" s="17"/>
      <c r="J222" s="17" t="n">
        <v>5</v>
      </c>
      <c r="K222" s="17"/>
      <c r="L222" s="17"/>
      <c r="M222" s="17"/>
      <c r="N222" s="27" t="str">
        <f aca="false">IF(F222=_xlfn.MINIFS($F$2:$F$948,$A$2:$A$948,$A222,$B$2:$B$948,$B222),"BEST","")</f>
        <v/>
      </c>
    </row>
    <row r="223" customFormat="false" ht="15" hidden="false" customHeight="false" outlineLevel="0" collapsed="false">
      <c r="A223" s="16" t="s">
        <v>45</v>
      </c>
      <c r="B223" s="17" t="n">
        <v>10</v>
      </c>
      <c r="C223" s="17" t="s">
        <v>67</v>
      </c>
      <c r="D223" s="16" t="s">
        <v>68</v>
      </c>
      <c r="E223" s="17" t="n">
        <v>11</v>
      </c>
      <c r="F223" s="26" t="n">
        <v>0.00105713227448756</v>
      </c>
      <c r="G223" s="17" t="n">
        <v>160</v>
      </c>
      <c r="H223" s="17" t="n">
        <v>600</v>
      </c>
      <c r="I223" s="17"/>
      <c r="J223" s="17" t="n">
        <v>5</v>
      </c>
      <c r="K223" s="17"/>
      <c r="L223" s="17"/>
      <c r="M223" s="17"/>
      <c r="N223" s="27" t="str">
        <f aca="false">IF(F223=_xlfn.MINIFS($F$2:$F$948,$A$2:$A$948,$A223,$B$2:$B$948,$B223),"BEST","")</f>
        <v/>
      </c>
    </row>
    <row r="224" customFormat="false" ht="15" hidden="false" customHeight="false" outlineLevel="0" collapsed="false">
      <c r="A224" s="16" t="s">
        <v>45</v>
      </c>
      <c r="B224" s="17" t="n">
        <v>10</v>
      </c>
      <c r="C224" s="17" t="s">
        <v>67</v>
      </c>
      <c r="D224" s="16" t="s">
        <v>68</v>
      </c>
      <c r="E224" s="17" t="n">
        <v>12</v>
      </c>
      <c r="F224" s="26" t="n">
        <v>0.00130336125549987</v>
      </c>
      <c r="G224" s="17" t="n">
        <v>160</v>
      </c>
      <c r="H224" s="17" t="n">
        <v>600</v>
      </c>
      <c r="I224" s="17"/>
      <c r="J224" s="17" t="n">
        <v>5</v>
      </c>
      <c r="K224" s="17"/>
      <c r="L224" s="17"/>
      <c r="M224" s="17"/>
      <c r="N224" s="27" t="str">
        <f aca="false">IF(F224=_xlfn.MINIFS($F$2:$F$948,$A$2:$A$948,$A224,$B$2:$B$948,$B224),"BEST","")</f>
        <v/>
      </c>
    </row>
    <row r="225" customFormat="false" ht="15" hidden="false" customHeight="false" outlineLevel="0" collapsed="false">
      <c r="A225" s="16" t="s">
        <v>45</v>
      </c>
      <c r="B225" s="17" t="n">
        <v>10</v>
      </c>
      <c r="C225" s="17" t="s">
        <v>67</v>
      </c>
      <c r="D225" s="16" t="s">
        <v>68</v>
      </c>
      <c r="E225" s="17" t="n">
        <v>13</v>
      </c>
      <c r="F225" s="26" t="n">
        <v>0.000931268822412577</v>
      </c>
      <c r="G225" s="17" t="n">
        <v>160</v>
      </c>
      <c r="H225" s="17" t="n">
        <v>600</v>
      </c>
      <c r="I225" s="17"/>
      <c r="J225" s="17" t="n">
        <v>5</v>
      </c>
      <c r="K225" s="17"/>
      <c r="L225" s="17"/>
      <c r="M225" s="17"/>
      <c r="N225" s="27" t="str">
        <f aca="false">IF(F225=_xlfn.MINIFS($F$2:$F$948,$A$2:$A$948,$A225,$B$2:$B$948,$B225),"BEST","")</f>
        <v/>
      </c>
    </row>
    <row r="226" customFormat="false" ht="15" hidden="false" customHeight="false" outlineLevel="0" collapsed="false">
      <c r="A226" s="16" t="s">
        <v>45</v>
      </c>
      <c r="B226" s="17" t="n">
        <v>10</v>
      </c>
      <c r="C226" s="17" t="s">
        <v>67</v>
      </c>
      <c r="D226" s="16" t="s">
        <v>68</v>
      </c>
      <c r="E226" s="17" t="n">
        <v>14</v>
      </c>
      <c r="F226" s="26" t="n">
        <v>0.00132642821825952</v>
      </c>
      <c r="G226" s="17" t="n">
        <v>160</v>
      </c>
      <c r="H226" s="17" t="n">
        <v>600</v>
      </c>
      <c r="I226" s="17"/>
      <c r="J226" s="17" t="n">
        <v>5</v>
      </c>
      <c r="K226" s="17"/>
      <c r="L226" s="17"/>
      <c r="M226" s="17"/>
      <c r="N226" s="27" t="str">
        <f aca="false">IF(F226=_xlfn.MINIFS($F$2:$F$948,$A$2:$A$948,$A226,$B$2:$B$948,$B226),"BEST","")</f>
        <v/>
      </c>
    </row>
    <row r="227" customFormat="false" ht="15" hidden="false" customHeight="false" outlineLevel="0" collapsed="false">
      <c r="A227" s="16" t="s">
        <v>45</v>
      </c>
      <c r="B227" s="17" t="n">
        <v>10</v>
      </c>
      <c r="C227" s="17" t="s">
        <v>67</v>
      </c>
      <c r="D227" s="16" t="s">
        <v>68</v>
      </c>
      <c r="E227" s="17" t="n">
        <v>15</v>
      </c>
      <c r="F227" s="26" t="n">
        <v>0.00105419226019427</v>
      </c>
      <c r="G227" s="17" t="n">
        <v>160</v>
      </c>
      <c r="H227" s="17" t="n">
        <v>600</v>
      </c>
      <c r="I227" s="17"/>
      <c r="J227" s="17" t="n">
        <v>5</v>
      </c>
      <c r="K227" s="17"/>
      <c r="L227" s="17"/>
      <c r="M227" s="17"/>
      <c r="N227" s="27" t="str">
        <f aca="false">IF(F227=_xlfn.MINIFS($F$2:$F$948,$A$2:$A$948,$A227,$B$2:$B$948,$B227),"BEST","")</f>
        <v/>
      </c>
    </row>
    <row r="228" customFormat="false" ht="15" hidden="false" customHeight="false" outlineLevel="0" collapsed="false">
      <c r="A228" s="16" t="s">
        <v>45</v>
      </c>
      <c r="B228" s="17" t="n">
        <v>10</v>
      </c>
      <c r="C228" s="17" t="s">
        <v>67</v>
      </c>
      <c r="D228" s="16" t="s">
        <v>68</v>
      </c>
      <c r="E228" s="17" t="n">
        <v>16</v>
      </c>
      <c r="F228" s="26" t="n">
        <v>0.00161675329679278</v>
      </c>
      <c r="G228" s="17" t="n">
        <v>160</v>
      </c>
      <c r="H228" s="17" t="n">
        <v>600</v>
      </c>
      <c r="I228" s="17"/>
      <c r="J228" s="17" t="n">
        <v>5</v>
      </c>
      <c r="K228" s="17"/>
      <c r="L228" s="17"/>
      <c r="M228" s="17"/>
      <c r="N228" s="27" t="str">
        <f aca="false">IF(F228=_xlfn.MINIFS($F$2:$F$948,$A$2:$A$948,$A228,$B$2:$B$948,$B228),"BEST","")</f>
        <v/>
      </c>
    </row>
    <row r="229" customFormat="false" ht="15" hidden="false" customHeight="false" outlineLevel="0" collapsed="false">
      <c r="A229" s="16" t="s">
        <v>45</v>
      </c>
      <c r="B229" s="17" t="n">
        <v>10</v>
      </c>
      <c r="C229" s="17" t="s">
        <v>67</v>
      </c>
      <c r="D229" s="16" t="s">
        <v>68</v>
      </c>
      <c r="E229" s="17" t="n">
        <v>17</v>
      </c>
      <c r="F229" s="26" t="n">
        <v>0.000830714867433385</v>
      </c>
      <c r="G229" s="17" t="n">
        <v>160</v>
      </c>
      <c r="H229" s="17" t="n">
        <v>600</v>
      </c>
      <c r="I229" s="17"/>
      <c r="J229" s="17" t="n">
        <v>5</v>
      </c>
      <c r="K229" s="17"/>
      <c r="L229" s="17"/>
      <c r="M229" s="17"/>
      <c r="N229" s="27" t="str">
        <f aca="false">IF(F229=_xlfn.MINIFS($F$2:$F$948,$A$2:$A$948,$A229,$B$2:$B$948,$B229),"BEST","")</f>
        <v/>
      </c>
    </row>
    <row r="230" customFormat="false" ht="15" hidden="false" customHeight="false" outlineLevel="0" collapsed="false">
      <c r="A230" s="16" t="s">
        <v>45</v>
      </c>
      <c r="B230" s="17" t="n">
        <v>10</v>
      </c>
      <c r="C230" s="17" t="s">
        <v>67</v>
      </c>
      <c r="D230" s="16" t="s">
        <v>68</v>
      </c>
      <c r="E230" s="17" t="n">
        <v>18</v>
      </c>
      <c r="F230" s="26" t="n">
        <v>0.00103774800746302</v>
      </c>
      <c r="G230" s="17" t="n">
        <v>160</v>
      </c>
      <c r="H230" s="17" t="n">
        <v>600</v>
      </c>
      <c r="I230" s="17"/>
      <c r="J230" s="17" t="n">
        <v>5</v>
      </c>
      <c r="K230" s="17"/>
      <c r="L230" s="17"/>
      <c r="M230" s="17"/>
      <c r="N230" s="27" t="str">
        <f aca="false">IF(F230=_xlfn.MINIFS($F$2:$F$948,$A$2:$A$948,$A230,$B$2:$B$948,$B230),"BEST","")</f>
        <v/>
      </c>
    </row>
    <row r="231" customFormat="false" ht="15" hidden="false" customHeight="false" outlineLevel="0" collapsed="false">
      <c r="A231" s="16" t="s">
        <v>45</v>
      </c>
      <c r="B231" s="17" t="n">
        <v>10</v>
      </c>
      <c r="C231" s="17" t="s">
        <v>67</v>
      </c>
      <c r="D231" s="16" t="s">
        <v>68</v>
      </c>
      <c r="E231" s="17" t="n">
        <v>19</v>
      </c>
      <c r="F231" s="26" t="n">
        <v>0.00105812927022241</v>
      </c>
      <c r="G231" s="17" t="n">
        <v>160</v>
      </c>
      <c r="H231" s="17" t="n">
        <v>600</v>
      </c>
      <c r="I231" s="17"/>
      <c r="J231" s="17" t="n">
        <v>5</v>
      </c>
      <c r="K231" s="17"/>
      <c r="L231" s="17"/>
      <c r="M231" s="17"/>
      <c r="N231" s="27" t="str">
        <f aca="false">IF(F231=_xlfn.MINIFS($F$2:$F$948,$A$2:$A$948,$A231,$B$2:$B$948,$B231),"BEST","")</f>
        <v/>
      </c>
    </row>
    <row r="232" customFormat="false" ht="15" hidden="false" customHeight="false" outlineLevel="0" collapsed="false">
      <c r="A232" s="16" t="s">
        <v>45</v>
      </c>
      <c r="B232" s="17" t="n">
        <v>10</v>
      </c>
      <c r="C232" s="17" t="s">
        <v>69</v>
      </c>
      <c r="D232" s="16" t="s">
        <v>68</v>
      </c>
      <c r="E232" s="17" t="n">
        <v>0</v>
      </c>
      <c r="F232" s="26" t="n">
        <v>0.016184213214138</v>
      </c>
      <c r="G232" s="17" t="n">
        <v>160</v>
      </c>
      <c r="H232" s="17" t="n">
        <v>600</v>
      </c>
      <c r="I232" s="17"/>
      <c r="J232" s="17" t="n">
        <v>5</v>
      </c>
      <c r="K232" s="17"/>
      <c r="L232" s="17"/>
      <c r="M232" s="17"/>
      <c r="N232" s="27" t="str">
        <f aca="false">IF(F232=_xlfn.MINIFS($F$2:$F$948,$A$2:$A$948,$A232,$B$2:$B$948,$B232),"BEST","")</f>
        <v/>
      </c>
    </row>
    <row r="233" customFormat="false" ht="15" hidden="false" customHeight="false" outlineLevel="0" collapsed="false">
      <c r="A233" s="16" t="s">
        <v>45</v>
      </c>
      <c r="B233" s="17" t="n">
        <v>10</v>
      </c>
      <c r="C233" s="17" t="s">
        <v>69</v>
      </c>
      <c r="D233" s="16" t="s">
        <v>68</v>
      </c>
      <c r="E233" s="17" t="n">
        <v>1</v>
      </c>
      <c r="F233" s="26" t="n">
        <v>0.0229404045141754</v>
      </c>
      <c r="G233" s="17" t="n">
        <v>160</v>
      </c>
      <c r="H233" s="17" t="n">
        <v>600</v>
      </c>
      <c r="I233" s="17"/>
      <c r="J233" s="17" t="n">
        <v>5</v>
      </c>
      <c r="K233" s="17"/>
      <c r="L233" s="17"/>
      <c r="M233" s="17"/>
      <c r="N233" s="27" t="str">
        <f aca="false">IF(F233=_xlfn.MINIFS($F$2:$F$948,$A$2:$A$948,$A233,$B$2:$B$948,$B233),"BEST","")</f>
        <v/>
      </c>
    </row>
    <row r="234" customFormat="false" ht="15" hidden="false" customHeight="false" outlineLevel="0" collapsed="false">
      <c r="A234" s="16" t="s">
        <v>45</v>
      </c>
      <c r="B234" s="17" t="n">
        <v>10</v>
      </c>
      <c r="C234" s="17" t="s">
        <v>69</v>
      </c>
      <c r="D234" s="16" t="s">
        <v>68</v>
      </c>
      <c r="E234" s="17" t="n">
        <v>2</v>
      </c>
      <c r="F234" s="26" t="n">
        <v>0.0256587988550241</v>
      </c>
      <c r="G234" s="17" t="n">
        <v>160</v>
      </c>
      <c r="H234" s="17" t="n">
        <v>600</v>
      </c>
      <c r="I234" s="17"/>
      <c r="J234" s="17" t="n">
        <v>5</v>
      </c>
      <c r="K234" s="17"/>
      <c r="L234" s="17"/>
      <c r="M234" s="17"/>
      <c r="N234" s="27" t="str">
        <f aca="false">IF(F234=_xlfn.MINIFS($F$2:$F$948,$A$2:$A$948,$A234,$B$2:$B$948,$B234),"BEST","")</f>
        <v/>
      </c>
    </row>
    <row r="235" customFormat="false" ht="15" hidden="false" customHeight="false" outlineLevel="0" collapsed="false">
      <c r="A235" s="16" t="s">
        <v>45</v>
      </c>
      <c r="B235" s="17" t="n">
        <v>10</v>
      </c>
      <c r="C235" s="17" t="s">
        <v>69</v>
      </c>
      <c r="D235" s="16" t="s">
        <v>68</v>
      </c>
      <c r="E235" s="17" t="n">
        <v>3</v>
      </c>
      <c r="F235" s="26" t="n">
        <v>0.021615132301302</v>
      </c>
      <c r="G235" s="17" t="n">
        <v>160</v>
      </c>
      <c r="H235" s="17" t="n">
        <v>600</v>
      </c>
      <c r="I235" s="17"/>
      <c r="J235" s="17" t="n">
        <v>5</v>
      </c>
      <c r="K235" s="17"/>
      <c r="L235" s="17"/>
      <c r="M235" s="17"/>
      <c r="N235" s="27" t="str">
        <f aca="false">IF(F235=_xlfn.MINIFS($F$2:$F$948,$A$2:$A$948,$A235,$B$2:$B$948,$B235),"BEST","")</f>
        <v/>
      </c>
    </row>
    <row r="236" customFormat="false" ht="15" hidden="false" customHeight="false" outlineLevel="0" collapsed="false">
      <c r="A236" s="16" t="s">
        <v>45</v>
      </c>
      <c r="B236" s="17" t="n">
        <v>10</v>
      </c>
      <c r="C236" s="17" t="s">
        <v>69</v>
      </c>
      <c r="D236" s="16" t="s">
        <v>68</v>
      </c>
      <c r="E236" s="17" t="n">
        <v>4</v>
      </c>
      <c r="F236" s="26" t="n">
        <v>0.0185120312520238</v>
      </c>
      <c r="G236" s="17" t="n">
        <v>160</v>
      </c>
      <c r="H236" s="17" t="n">
        <v>600</v>
      </c>
      <c r="I236" s="17"/>
      <c r="J236" s="17" t="n">
        <v>5</v>
      </c>
      <c r="K236" s="17"/>
      <c r="L236" s="17"/>
      <c r="M236" s="17"/>
      <c r="N236" s="27" t="str">
        <f aca="false">IF(F236=_xlfn.MINIFS($F$2:$F$948,$A$2:$A$948,$A236,$B$2:$B$948,$B236),"BEST","")</f>
        <v/>
      </c>
    </row>
    <row r="237" customFormat="false" ht="15" hidden="false" customHeight="false" outlineLevel="0" collapsed="false">
      <c r="A237" s="16" t="s">
        <v>45</v>
      </c>
      <c r="B237" s="17" t="n">
        <v>10</v>
      </c>
      <c r="C237" s="17" t="s">
        <v>69</v>
      </c>
      <c r="D237" s="16" t="s">
        <v>68</v>
      </c>
      <c r="E237" s="17" t="n">
        <v>5</v>
      </c>
      <c r="F237" s="26" t="n">
        <v>0.0191345660820171</v>
      </c>
      <c r="G237" s="17" t="n">
        <v>160</v>
      </c>
      <c r="H237" s="17" t="n">
        <v>600</v>
      </c>
      <c r="I237" s="17"/>
      <c r="J237" s="17" t="n">
        <v>5</v>
      </c>
      <c r="K237" s="17"/>
      <c r="L237" s="17"/>
      <c r="M237" s="17"/>
      <c r="N237" s="27" t="str">
        <f aca="false">IF(F237=_xlfn.MINIFS($F$2:$F$948,$A$2:$A$948,$A237,$B$2:$B$948,$B237),"BEST","")</f>
        <v/>
      </c>
    </row>
    <row r="238" customFormat="false" ht="15" hidden="false" customHeight="false" outlineLevel="0" collapsed="false">
      <c r="A238" s="16" t="s">
        <v>45</v>
      </c>
      <c r="B238" s="17" t="n">
        <v>10</v>
      </c>
      <c r="C238" s="17" t="s">
        <v>69</v>
      </c>
      <c r="D238" s="16" t="s">
        <v>68</v>
      </c>
      <c r="E238" s="17" t="n">
        <v>6</v>
      </c>
      <c r="F238" s="26" t="n">
        <v>0.0190478788116215</v>
      </c>
      <c r="G238" s="17" t="n">
        <v>160</v>
      </c>
      <c r="H238" s="17" t="n">
        <v>600</v>
      </c>
      <c r="I238" s="17"/>
      <c r="J238" s="17" t="n">
        <v>5</v>
      </c>
      <c r="K238" s="17"/>
      <c r="L238" s="17"/>
      <c r="M238" s="17"/>
      <c r="N238" s="27" t="str">
        <f aca="false">IF(F238=_xlfn.MINIFS($F$2:$F$948,$A$2:$A$948,$A238,$B$2:$B$948,$B238),"BEST","")</f>
        <v/>
      </c>
    </row>
    <row r="239" customFormat="false" ht="15" hidden="false" customHeight="false" outlineLevel="0" collapsed="false">
      <c r="A239" s="16" t="s">
        <v>45</v>
      </c>
      <c r="B239" s="17" t="n">
        <v>10</v>
      </c>
      <c r="C239" s="17" t="s">
        <v>69</v>
      </c>
      <c r="D239" s="16" t="s">
        <v>68</v>
      </c>
      <c r="E239" s="17" t="n">
        <v>7</v>
      </c>
      <c r="F239" s="26" t="n">
        <v>0.0305547481128599</v>
      </c>
      <c r="G239" s="17" t="n">
        <v>160</v>
      </c>
      <c r="H239" s="17" t="n">
        <v>600</v>
      </c>
      <c r="I239" s="17"/>
      <c r="J239" s="17" t="n">
        <v>5</v>
      </c>
      <c r="K239" s="17"/>
      <c r="L239" s="17"/>
      <c r="M239" s="17"/>
      <c r="N239" s="27" t="str">
        <f aca="false">IF(F239=_xlfn.MINIFS($F$2:$F$948,$A$2:$A$948,$A239,$B$2:$B$948,$B239),"BEST","")</f>
        <v/>
      </c>
    </row>
    <row r="240" customFormat="false" ht="15" hidden="false" customHeight="false" outlineLevel="0" collapsed="false">
      <c r="A240" s="16" t="s">
        <v>45</v>
      </c>
      <c r="B240" s="17" t="n">
        <v>10</v>
      </c>
      <c r="C240" s="17" t="s">
        <v>69</v>
      </c>
      <c r="D240" s="16" t="s">
        <v>68</v>
      </c>
      <c r="E240" s="17" t="n">
        <v>8</v>
      </c>
      <c r="F240" s="26" t="n">
        <v>0.0202813952706338</v>
      </c>
      <c r="G240" s="17" t="n">
        <v>160</v>
      </c>
      <c r="H240" s="17" t="n">
        <v>600</v>
      </c>
      <c r="I240" s="17"/>
      <c r="J240" s="17" t="n">
        <v>5</v>
      </c>
      <c r="K240" s="17"/>
      <c r="L240" s="17"/>
      <c r="M240" s="17"/>
      <c r="N240" s="27" t="str">
        <f aca="false">IF(F240=_xlfn.MINIFS($F$2:$F$948,$A$2:$A$948,$A240,$B$2:$B$948,$B240),"BEST","")</f>
        <v/>
      </c>
    </row>
    <row r="241" customFormat="false" ht="15" hidden="false" customHeight="false" outlineLevel="0" collapsed="false">
      <c r="A241" s="16" t="s">
        <v>45</v>
      </c>
      <c r="B241" s="17" t="n">
        <v>10</v>
      </c>
      <c r="C241" s="17" t="s">
        <v>69</v>
      </c>
      <c r="D241" s="16" t="s">
        <v>68</v>
      </c>
      <c r="E241" s="17" t="n">
        <v>9</v>
      </c>
      <c r="F241" s="26" t="n">
        <v>0.0188268291274262</v>
      </c>
      <c r="G241" s="17" t="n">
        <v>160</v>
      </c>
      <c r="H241" s="17" t="n">
        <v>600</v>
      </c>
      <c r="I241" s="17"/>
      <c r="J241" s="17" t="n">
        <v>5</v>
      </c>
      <c r="K241" s="17"/>
      <c r="L241" s="17"/>
      <c r="M241" s="17"/>
      <c r="N241" s="27" t="str">
        <f aca="false">IF(F241=_xlfn.MINIFS($F$2:$F$948,$A$2:$A$948,$A241,$B$2:$B$948,$B241),"BEST","")</f>
        <v/>
      </c>
    </row>
    <row r="242" customFormat="false" ht="15" hidden="false" customHeight="false" outlineLevel="0" collapsed="false">
      <c r="A242" s="16" t="s">
        <v>45</v>
      </c>
      <c r="B242" s="17" t="n">
        <v>10</v>
      </c>
      <c r="C242" s="17" t="s">
        <v>69</v>
      </c>
      <c r="D242" s="16" t="s">
        <v>68</v>
      </c>
      <c r="E242" s="17" t="n">
        <v>10</v>
      </c>
      <c r="F242" s="26" t="n">
        <v>0.0251001295125303</v>
      </c>
      <c r="G242" s="17" t="n">
        <v>160</v>
      </c>
      <c r="H242" s="17" t="n">
        <v>600</v>
      </c>
      <c r="I242" s="17"/>
      <c r="J242" s="17" t="n">
        <v>5</v>
      </c>
      <c r="K242" s="17"/>
      <c r="L242" s="17"/>
      <c r="M242" s="17"/>
      <c r="N242" s="27" t="str">
        <f aca="false">IF(F242=_xlfn.MINIFS($F$2:$F$948,$A$2:$A$948,$A242,$B$2:$B$948,$B242),"BEST","")</f>
        <v/>
      </c>
    </row>
    <row r="243" customFormat="false" ht="15" hidden="false" customHeight="false" outlineLevel="0" collapsed="false">
      <c r="A243" s="16" t="s">
        <v>45</v>
      </c>
      <c r="B243" s="17" t="n">
        <v>10</v>
      </c>
      <c r="C243" s="17" t="s">
        <v>69</v>
      </c>
      <c r="D243" s="16" t="s">
        <v>68</v>
      </c>
      <c r="E243" s="17" t="n">
        <v>11</v>
      </c>
      <c r="F243" s="26" t="n">
        <v>0.0162983888845226</v>
      </c>
      <c r="G243" s="17" t="n">
        <v>160</v>
      </c>
      <c r="H243" s="17" t="n">
        <v>600</v>
      </c>
      <c r="I243" s="17"/>
      <c r="J243" s="17" t="n">
        <v>5</v>
      </c>
      <c r="K243" s="17"/>
      <c r="L243" s="17"/>
      <c r="M243" s="17"/>
      <c r="N243" s="27" t="str">
        <f aca="false">IF(F243=_xlfn.MINIFS($F$2:$F$948,$A$2:$A$948,$A243,$B$2:$B$948,$B243),"BEST","")</f>
        <v/>
      </c>
    </row>
    <row r="244" customFormat="false" ht="15" hidden="false" customHeight="false" outlineLevel="0" collapsed="false">
      <c r="A244" s="16" t="s">
        <v>45</v>
      </c>
      <c r="B244" s="17" t="n">
        <v>10</v>
      </c>
      <c r="C244" s="17" t="s">
        <v>69</v>
      </c>
      <c r="D244" s="16" t="s">
        <v>68</v>
      </c>
      <c r="E244" s="17" t="n">
        <v>12</v>
      </c>
      <c r="F244" s="26" t="n">
        <v>0.0211844262515134</v>
      </c>
      <c r="G244" s="17" t="n">
        <v>160</v>
      </c>
      <c r="H244" s="17" t="n">
        <v>600</v>
      </c>
      <c r="I244" s="17"/>
      <c r="J244" s="17" t="n">
        <v>5</v>
      </c>
      <c r="K244" s="17"/>
      <c r="L244" s="17"/>
      <c r="M244" s="17"/>
      <c r="N244" s="27" t="str">
        <f aca="false">IF(F244=_xlfn.MINIFS($F$2:$F$948,$A$2:$A$948,$A244,$B$2:$B$948,$B244),"BEST","")</f>
        <v/>
      </c>
    </row>
    <row r="245" customFormat="false" ht="15" hidden="false" customHeight="false" outlineLevel="0" collapsed="false">
      <c r="A245" s="16" t="s">
        <v>45</v>
      </c>
      <c r="B245" s="17" t="n">
        <v>10</v>
      </c>
      <c r="C245" s="17" t="s">
        <v>69</v>
      </c>
      <c r="D245" s="16" t="s">
        <v>68</v>
      </c>
      <c r="E245" s="17" t="n">
        <v>13</v>
      </c>
      <c r="F245" s="26" t="n">
        <v>0.0197506451727915</v>
      </c>
      <c r="G245" s="17" t="n">
        <v>160</v>
      </c>
      <c r="H245" s="17" t="n">
        <v>600</v>
      </c>
      <c r="I245" s="17"/>
      <c r="J245" s="17" t="n">
        <v>5</v>
      </c>
      <c r="K245" s="17"/>
      <c r="L245" s="17"/>
      <c r="M245" s="17"/>
      <c r="N245" s="27" t="str">
        <f aca="false">IF(F245=_xlfn.MINIFS($F$2:$F$948,$A$2:$A$948,$A245,$B$2:$B$948,$B245),"BEST","")</f>
        <v/>
      </c>
    </row>
    <row r="246" customFormat="false" ht="15" hidden="false" customHeight="false" outlineLevel="0" collapsed="false">
      <c r="A246" s="16" t="s">
        <v>45</v>
      </c>
      <c r="B246" s="17" t="n">
        <v>10</v>
      </c>
      <c r="C246" s="17" t="s">
        <v>69</v>
      </c>
      <c r="D246" s="16" t="s">
        <v>68</v>
      </c>
      <c r="E246" s="17" t="n">
        <v>14</v>
      </c>
      <c r="F246" s="26" t="n">
        <v>0.0314983589560206</v>
      </c>
      <c r="G246" s="17" t="n">
        <v>160</v>
      </c>
      <c r="H246" s="17" t="n">
        <v>600</v>
      </c>
      <c r="I246" s="17"/>
      <c r="J246" s="17" t="n">
        <v>5</v>
      </c>
      <c r="K246" s="17"/>
      <c r="L246" s="17"/>
      <c r="M246" s="17"/>
      <c r="N246" s="27" t="str">
        <f aca="false">IF(F246=_xlfn.MINIFS($F$2:$F$948,$A$2:$A$948,$A246,$B$2:$B$948,$B246),"BEST","")</f>
        <v/>
      </c>
    </row>
    <row r="247" customFormat="false" ht="15" hidden="false" customHeight="false" outlineLevel="0" collapsed="false">
      <c r="A247" s="16" t="s">
        <v>45</v>
      </c>
      <c r="B247" s="17" t="n">
        <v>10</v>
      </c>
      <c r="C247" s="17" t="s">
        <v>69</v>
      </c>
      <c r="D247" s="16" t="s">
        <v>68</v>
      </c>
      <c r="E247" s="17" t="n">
        <v>15</v>
      </c>
      <c r="F247" s="26" t="n">
        <v>0.0171534938049638</v>
      </c>
      <c r="G247" s="17" t="n">
        <v>160</v>
      </c>
      <c r="H247" s="17" t="n">
        <v>600</v>
      </c>
      <c r="I247" s="17"/>
      <c r="J247" s="17" t="n">
        <v>5</v>
      </c>
      <c r="K247" s="17"/>
      <c r="L247" s="17"/>
      <c r="M247" s="17"/>
      <c r="N247" s="27" t="str">
        <f aca="false">IF(F247=_xlfn.MINIFS($F$2:$F$948,$A$2:$A$948,$A247,$B$2:$B$948,$B247),"BEST","")</f>
        <v/>
      </c>
    </row>
    <row r="248" customFormat="false" ht="15" hidden="false" customHeight="false" outlineLevel="0" collapsed="false">
      <c r="A248" s="16" t="s">
        <v>45</v>
      </c>
      <c r="B248" s="17" t="n">
        <v>10</v>
      </c>
      <c r="C248" s="17" t="s">
        <v>69</v>
      </c>
      <c r="D248" s="16" t="s">
        <v>68</v>
      </c>
      <c r="E248" s="17" t="n">
        <v>16</v>
      </c>
      <c r="F248" s="26" t="n">
        <v>0.0230541495168188</v>
      </c>
      <c r="G248" s="17" t="n">
        <v>160</v>
      </c>
      <c r="H248" s="17" t="n">
        <v>600</v>
      </c>
      <c r="I248" s="17"/>
      <c r="J248" s="17" t="n">
        <v>5</v>
      </c>
      <c r="K248" s="17"/>
      <c r="L248" s="17"/>
      <c r="M248" s="17"/>
      <c r="N248" s="27" t="str">
        <f aca="false">IF(F248=_xlfn.MINIFS($F$2:$F$948,$A$2:$A$948,$A248,$B$2:$B$948,$B248),"BEST","")</f>
        <v/>
      </c>
    </row>
    <row r="249" customFormat="false" ht="15" hidden="false" customHeight="false" outlineLevel="0" collapsed="false">
      <c r="A249" s="16" t="s">
        <v>45</v>
      </c>
      <c r="B249" s="17" t="n">
        <v>10</v>
      </c>
      <c r="C249" s="17" t="s">
        <v>69</v>
      </c>
      <c r="D249" s="16" t="s">
        <v>68</v>
      </c>
      <c r="E249" s="17" t="n">
        <v>17</v>
      </c>
      <c r="F249" s="26" t="n">
        <v>0.0175559702210845</v>
      </c>
      <c r="G249" s="17" t="n">
        <v>160</v>
      </c>
      <c r="H249" s="17" t="n">
        <v>600</v>
      </c>
      <c r="I249" s="17"/>
      <c r="J249" s="17" t="n">
        <v>5</v>
      </c>
      <c r="K249" s="17"/>
      <c r="L249" s="17"/>
      <c r="M249" s="17"/>
      <c r="N249" s="27" t="str">
        <f aca="false">IF(F249=_xlfn.MINIFS($F$2:$F$948,$A$2:$A$948,$A249,$B$2:$B$948,$B249),"BEST","")</f>
        <v/>
      </c>
    </row>
    <row r="250" customFormat="false" ht="15" hidden="false" customHeight="false" outlineLevel="0" collapsed="false">
      <c r="A250" s="16" t="s">
        <v>45</v>
      </c>
      <c r="B250" s="17" t="n">
        <v>10</v>
      </c>
      <c r="C250" s="17" t="s">
        <v>69</v>
      </c>
      <c r="D250" s="16" t="s">
        <v>68</v>
      </c>
      <c r="E250" s="17" t="n">
        <v>18</v>
      </c>
      <c r="F250" s="26" t="n">
        <v>0.0240632699451928</v>
      </c>
      <c r="G250" s="17" t="n">
        <v>160</v>
      </c>
      <c r="H250" s="17" t="n">
        <v>600</v>
      </c>
      <c r="I250" s="17"/>
      <c r="J250" s="17" t="n">
        <v>5</v>
      </c>
      <c r="K250" s="17"/>
      <c r="L250" s="17"/>
      <c r="M250" s="17"/>
      <c r="N250" s="27" t="str">
        <f aca="false">IF(F250=_xlfn.MINIFS($F$2:$F$948,$A$2:$A$948,$A250,$B$2:$B$948,$B250),"BEST","")</f>
        <v/>
      </c>
    </row>
    <row r="251" customFormat="false" ht="15" hidden="false" customHeight="false" outlineLevel="0" collapsed="false">
      <c r="A251" s="16" t="s">
        <v>45</v>
      </c>
      <c r="B251" s="17" t="n">
        <v>10</v>
      </c>
      <c r="C251" s="17" t="s">
        <v>69</v>
      </c>
      <c r="D251" s="16" t="s">
        <v>68</v>
      </c>
      <c r="E251" s="17" t="n">
        <v>19</v>
      </c>
      <c r="F251" s="26" t="n">
        <v>0.0163125593540685</v>
      </c>
      <c r="G251" s="17" t="n">
        <v>160</v>
      </c>
      <c r="H251" s="17" t="n">
        <v>600</v>
      </c>
      <c r="I251" s="17"/>
      <c r="J251" s="17" t="n">
        <v>5</v>
      </c>
      <c r="K251" s="17"/>
      <c r="L251" s="17"/>
      <c r="M251" s="17"/>
      <c r="N251" s="27" t="str">
        <f aca="false">IF(F251=_xlfn.MINIFS($F$2:$F$948,$A$2:$A$948,$A251,$B$2:$B$948,$B251),"BEST","")</f>
        <v/>
      </c>
    </row>
    <row r="252" customFormat="false" ht="15" hidden="false" customHeight="false" outlineLevel="0" collapsed="false">
      <c r="A252" s="16" t="s">
        <v>45</v>
      </c>
      <c r="B252" s="17" t="n">
        <v>10</v>
      </c>
      <c r="C252" s="17" t="s">
        <v>70</v>
      </c>
      <c r="D252" s="16" t="s">
        <v>68</v>
      </c>
      <c r="E252" s="17" t="n">
        <v>0</v>
      </c>
      <c r="F252" s="26" t="n">
        <v>5.65643636447956E-006</v>
      </c>
      <c r="G252" s="17" t="n">
        <v>21</v>
      </c>
      <c r="H252" s="17" t="n">
        <v>600</v>
      </c>
      <c r="I252" s="17"/>
      <c r="J252" s="17" t="n">
        <v>5</v>
      </c>
      <c r="K252" s="17"/>
      <c r="L252" s="17"/>
      <c r="M252" s="17" t="n">
        <v>2</v>
      </c>
      <c r="N252" s="27" t="str">
        <f aca="false">IF(F252=_xlfn.MINIFS($F$2:$F$948,$A$2:$A$948,$A252,$B$2:$B$948,$B252),"BEST","")</f>
        <v>BEST</v>
      </c>
    </row>
    <row r="253" customFormat="false" ht="15" hidden="false" customHeight="false" outlineLevel="0" collapsed="false">
      <c r="A253" s="16" t="s">
        <v>45</v>
      </c>
      <c r="B253" s="17" t="n">
        <v>10</v>
      </c>
      <c r="C253" s="17" t="s">
        <v>70</v>
      </c>
      <c r="D253" s="16" t="s">
        <v>68</v>
      </c>
      <c r="E253" s="17" t="n">
        <v>1</v>
      </c>
      <c r="F253" s="26" t="n">
        <v>5.65643636447956E-006</v>
      </c>
      <c r="G253" s="17" t="n">
        <v>21</v>
      </c>
      <c r="H253" s="17" t="n">
        <v>600</v>
      </c>
      <c r="I253" s="17"/>
      <c r="J253" s="17" t="n">
        <v>5</v>
      </c>
      <c r="K253" s="17"/>
      <c r="L253" s="17"/>
      <c r="M253" s="17" t="n">
        <v>2</v>
      </c>
      <c r="N253" s="27" t="str">
        <f aca="false">IF(F253=_xlfn.MINIFS($F$2:$F$948,$A$2:$A$948,$A253,$B$2:$B$948,$B253),"BEST","")</f>
        <v>BEST</v>
      </c>
    </row>
    <row r="254" customFormat="false" ht="15" hidden="false" customHeight="false" outlineLevel="0" collapsed="false">
      <c r="A254" s="16" t="s">
        <v>45</v>
      </c>
      <c r="B254" s="17" t="n">
        <v>10</v>
      </c>
      <c r="C254" s="17" t="s">
        <v>70</v>
      </c>
      <c r="D254" s="16" t="s">
        <v>68</v>
      </c>
      <c r="E254" s="17" t="n">
        <v>2</v>
      </c>
      <c r="F254" s="26" t="n">
        <v>5.65643636447956E-006</v>
      </c>
      <c r="G254" s="17" t="n">
        <v>21</v>
      </c>
      <c r="H254" s="17" t="n">
        <v>600</v>
      </c>
      <c r="I254" s="17"/>
      <c r="J254" s="17" t="n">
        <v>5</v>
      </c>
      <c r="K254" s="17"/>
      <c r="L254" s="17"/>
      <c r="M254" s="17" t="n">
        <v>2</v>
      </c>
      <c r="N254" s="27" t="str">
        <f aca="false">IF(F254=_xlfn.MINIFS($F$2:$F$948,$A$2:$A$948,$A254,$B$2:$B$948,$B254),"BEST","")</f>
        <v>BEST</v>
      </c>
    </row>
    <row r="255" customFormat="false" ht="15" hidden="false" customHeight="false" outlineLevel="0" collapsed="false">
      <c r="A255" s="16" t="s">
        <v>45</v>
      </c>
      <c r="B255" s="17" t="n">
        <v>10</v>
      </c>
      <c r="C255" s="17" t="s">
        <v>70</v>
      </c>
      <c r="D255" s="16" t="s">
        <v>68</v>
      </c>
      <c r="E255" s="17" t="n">
        <v>3</v>
      </c>
      <c r="F255" s="26" t="n">
        <v>5.65643636447956E-006</v>
      </c>
      <c r="G255" s="17" t="n">
        <v>21</v>
      </c>
      <c r="H255" s="17" t="n">
        <v>600</v>
      </c>
      <c r="I255" s="17"/>
      <c r="J255" s="17" t="n">
        <v>5</v>
      </c>
      <c r="K255" s="17"/>
      <c r="L255" s="17"/>
      <c r="M255" s="17" t="n">
        <v>2</v>
      </c>
      <c r="N255" s="27" t="str">
        <f aca="false">IF(F255=_xlfn.MINIFS($F$2:$F$948,$A$2:$A$948,$A255,$B$2:$B$948,$B255),"BEST","")</f>
        <v>BEST</v>
      </c>
    </row>
    <row r="256" customFormat="false" ht="15" hidden="false" customHeight="false" outlineLevel="0" collapsed="false">
      <c r="A256" s="16" t="s">
        <v>45</v>
      </c>
      <c r="B256" s="17" t="n">
        <v>10</v>
      </c>
      <c r="C256" s="17" t="s">
        <v>70</v>
      </c>
      <c r="D256" s="16" t="s">
        <v>68</v>
      </c>
      <c r="E256" s="17" t="n">
        <v>4</v>
      </c>
      <c r="F256" s="26" t="n">
        <v>5.65643636447956E-006</v>
      </c>
      <c r="G256" s="17" t="n">
        <v>21</v>
      </c>
      <c r="H256" s="17" t="n">
        <v>600</v>
      </c>
      <c r="I256" s="17"/>
      <c r="J256" s="17" t="n">
        <v>5</v>
      </c>
      <c r="K256" s="17"/>
      <c r="L256" s="17"/>
      <c r="M256" s="17" t="n">
        <v>2</v>
      </c>
      <c r="N256" s="27" t="str">
        <f aca="false">IF(F256=_xlfn.MINIFS($F$2:$F$948,$A$2:$A$948,$A256,$B$2:$B$948,$B256),"BEST","")</f>
        <v>BEST</v>
      </c>
    </row>
    <row r="257" customFormat="false" ht="15" hidden="false" customHeight="false" outlineLevel="0" collapsed="false">
      <c r="A257" s="16" t="s">
        <v>45</v>
      </c>
      <c r="B257" s="17" t="n">
        <v>10</v>
      </c>
      <c r="C257" s="17" t="s">
        <v>70</v>
      </c>
      <c r="D257" s="16" t="s">
        <v>68</v>
      </c>
      <c r="E257" s="17" t="n">
        <v>5</v>
      </c>
      <c r="F257" s="26" t="n">
        <v>5.65643636447956E-006</v>
      </c>
      <c r="G257" s="17" t="n">
        <v>21</v>
      </c>
      <c r="H257" s="17" t="n">
        <v>600</v>
      </c>
      <c r="I257" s="17"/>
      <c r="J257" s="17" t="n">
        <v>5</v>
      </c>
      <c r="K257" s="17"/>
      <c r="L257" s="17"/>
      <c r="M257" s="17" t="n">
        <v>2</v>
      </c>
      <c r="N257" s="27" t="str">
        <f aca="false">IF(F257=_xlfn.MINIFS($F$2:$F$948,$A$2:$A$948,$A257,$B$2:$B$948,$B257),"BEST","")</f>
        <v>BEST</v>
      </c>
    </row>
    <row r="258" customFormat="false" ht="15" hidden="false" customHeight="false" outlineLevel="0" collapsed="false">
      <c r="A258" s="16" t="s">
        <v>45</v>
      </c>
      <c r="B258" s="17" t="n">
        <v>10</v>
      </c>
      <c r="C258" s="17" t="s">
        <v>70</v>
      </c>
      <c r="D258" s="16" t="s">
        <v>68</v>
      </c>
      <c r="E258" s="17" t="n">
        <v>6</v>
      </c>
      <c r="F258" s="26" t="n">
        <v>5.65643636447956E-006</v>
      </c>
      <c r="G258" s="17" t="n">
        <v>21</v>
      </c>
      <c r="H258" s="17" t="n">
        <v>600</v>
      </c>
      <c r="I258" s="17"/>
      <c r="J258" s="17" t="n">
        <v>5</v>
      </c>
      <c r="K258" s="17"/>
      <c r="L258" s="17"/>
      <c r="M258" s="17" t="n">
        <v>2</v>
      </c>
      <c r="N258" s="27" t="str">
        <f aca="false">IF(F258=_xlfn.MINIFS($F$2:$F$948,$A$2:$A$948,$A258,$B$2:$B$948,$B258),"BEST","")</f>
        <v>BEST</v>
      </c>
    </row>
    <row r="259" customFormat="false" ht="15" hidden="false" customHeight="false" outlineLevel="0" collapsed="false">
      <c r="A259" s="16" t="s">
        <v>45</v>
      </c>
      <c r="B259" s="17" t="n">
        <v>10</v>
      </c>
      <c r="C259" s="17" t="s">
        <v>70</v>
      </c>
      <c r="D259" s="16" t="s">
        <v>68</v>
      </c>
      <c r="E259" s="17" t="n">
        <v>7</v>
      </c>
      <c r="F259" s="26" t="n">
        <v>5.65643636447956E-006</v>
      </c>
      <c r="G259" s="17" t="n">
        <v>21</v>
      </c>
      <c r="H259" s="17" t="n">
        <v>600</v>
      </c>
      <c r="I259" s="17"/>
      <c r="J259" s="17" t="n">
        <v>5</v>
      </c>
      <c r="K259" s="17"/>
      <c r="L259" s="17"/>
      <c r="M259" s="17" t="n">
        <v>2</v>
      </c>
      <c r="N259" s="27" t="str">
        <f aca="false">IF(F259=_xlfn.MINIFS($F$2:$F$948,$A$2:$A$948,$A259,$B$2:$B$948,$B259),"BEST","")</f>
        <v>BEST</v>
      </c>
    </row>
    <row r="260" customFormat="false" ht="15" hidden="false" customHeight="false" outlineLevel="0" collapsed="false">
      <c r="A260" s="16" t="s">
        <v>45</v>
      </c>
      <c r="B260" s="17" t="n">
        <v>10</v>
      </c>
      <c r="C260" s="17" t="s">
        <v>70</v>
      </c>
      <c r="D260" s="16" t="s">
        <v>68</v>
      </c>
      <c r="E260" s="17" t="n">
        <v>8</v>
      </c>
      <c r="F260" s="26" t="n">
        <v>5.65643636447956E-006</v>
      </c>
      <c r="G260" s="17" t="n">
        <v>21</v>
      </c>
      <c r="H260" s="17" t="n">
        <v>600</v>
      </c>
      <c r="I260" s="17"/>
      <c r="J260" s="17" t="n">
        <v>5</v>
      </c>
      <c r="K260" s="17"/>
      <c r="L260" s="17"/>
      <c r="M260" s="17" t="n">
        <v>2</v>
      </c>
      <c r="N260" s="27" t="str">
        <f aca="false">IF(F260=_xlfn.MINIFS($F$2:$F$948,$A$2:$A$948,$A260,$B$2:$B$948,$B260),"BEST","")</f>
        <v>BEST</v>
      </c>
    </row>
    <row r="261" customFormat="false" ht="15" hidden="false" customHeight="false" outlineLevel="0" collapsed="false">
      <c r="A261" s="16" t="s">
        <v>45</v>
      </c>
      <c r="B261" s="17" t="n">
        <v>10</v>
      </c>
      <c r="C261" s="17" t="s">
        <v>70</v>
      </c>
      <c r="D261" s="16" t="s">
        <v>68</v>
      </c>
      <c r="E261" s="17" t="n">
        <v>9</v>
      </c>
      <c r="F261" s="26" t="n">
        <v>5.65643636447956E-006</v>
      </c>
      <c r="G261" s="17" t="n">
        <v>21</v>
      </c>
      <c r="H261" s="17" t="n">
        <v>600</v>
      </c>
      <c r="I261" s="17"/>
      <c r="J261" s="17" t="n">
        <v>5</v>
      </c>
      <c r="K261" s="17"/>
      <c r="L261" s="17"/>
      <c r="M261" s="17" t="n">
        <v>2</v>
      </c>
      <c r="N261" s="27" t="str">
        <f aca="false">IF(F261=_xlfn.MINIFS($F$2:$F$948,$A$2:$A$948,$A261,$B$2:$B$948,$B261),"BEST","")</f>
        <v>BEST</v>
      </c>
    </row>
    <row r="262" customFormat="false" ht="15" hidden="false" customHeight="false" outlineLevel="0" collapsed="false">
      <c r="A262" s="16" t="s">
        <v>45</v>
      </c>
      <c r="B262" s="17" t="n">
        <v>10</v>
      </c>
      <c r="C262" s="17" t="s">
        <v>70</v>
      </c>
      <c r="D262" s="16" t="s">
        <v>68</v>
      </c>
      <c r="E262" s="17" t="n">
        <v>10</v>
      </c>
      <c r="F262" s="26" t="n">
        <v>5.65643636447956E-006</v>
      </c>
      <c r="G262" s="17" t="n">
        <v>21</v>
      </c>
      <c r="H262" s="17" t="n">
        <v>600</v>
      </c>
      <c r="I262" s="17"/>
      <c r="J262" s="17" t="n">
        <v>5</v>
      </c>
      <c r="K262" s="17"/>
      <c r="L262" s="17"/>
      <c r="M262" s="17" t="n">
        <v>2</v>
      </c>
      <c r="N262" s="27" t="str">
        <f aca="false">IF(F262=_xlfn.MINIFS($F$2:$F$948,$A$2:$A$948,$A262,$B$2:$B$948,$B262),"BEST","")</f>
        <v>BEST</v>
      </c>
    </row>
    <row r="263" customFormat="false" ht="15" hidden="false" customHeight="false" outlineLevel="0" collapsed="false">
      <c r="A263" s="16" t="s">
        <v>45</v>
      </c>
      <c r="B263" s="17" t="n">
        <v>10</v>
      </c>
      <c r="C263" s="17" t="s">
        <v>70</v>
      </c>
      <c r="D263" s="16" t="s">
        <v>68</v>
      </c>
      <c r="E263" s="17" t="n">
        <v>11</v>
      </c>
      <c r="F263" s="26" t="n">
        <v>5.65643636447956E-006</v>
      </c>
      <c r="G263" s="17" t="n">
        <v>21</v>
      </c>
      <c r="H263" s="17" t="n">
        <v>600</v>
      </c>
      <c r="I263" s="17"/>
      <c r="J263" s="17" t="n">
        <v>5</v>
      </c>
      <c r="K263" s="17"/>
      <c r="L263" s="17"/>
      <c r="M263" s="17" t="n">
        <v>2</v>
      </c>
      <c r="N263" s="27" t="str">
        <f aca="false">IF(F263=_xlfn.MINIFS($F$2:$F$948,$A$2:$A$948,$A263,$B$2:$B$948,$B263),"BEST","")</f>
        <v>BEST</v>
      </c>
    </row>
    <row r="264" customFormat="false" ht="15" hidden="false" customHeight="false" outlineLevel="0" collapsed="false">
      <c r="A264" s="16" t="s">
        <v>45</v>
      </c>
      <c r="B264" s="17" t="n">
        <v>10</v>
      </c>
      <c r="C264" s="17" t="s">
        <v>70</v>
      </c>
      <c r="D264" s="16" t="s">
        <v>68</v>
      </c>
      <c r="E264" s="17" t="n">
        <v>12</v>
      </c>
      <c r="F264" s="26" t="n">
        <v>5.65643636447956E-006</v>
      </c>
      <c r="G264" s="17" t="n">
        <v>21</v>
      </c>
      <c r="H264" s="17" t="n">
        <v>600</v>
      </c>
      <c r="I264" s="17"/>
      <c r="J264" s="17" t="n">
        <v>5</v>
      </c>
      <c r="K264" s="17"/>
      <c r="L264" s="17"/>
      <c r="M264" s="17" t="n">
        <v>2</v>
      </c>
      <c r="N264" s="27" t="str">
        <f aca="false">IF(F264=_xlfn.MINIFS($F$2:$F$948,$A$2:$A$948,$A264,$B$2:$B$948,$B264),"BEST","")</f>
        <v>BEST</v>
      </c>
    </row>
    <row r="265" customFormat="false" ht="15" hidden="false" customHeight="false" outlineLevel="0" collapsed="false">
      <c r="A265" s="16" t="s">
        <v>45</v>
      </c>
      <c r="B265" s="17" t="n">
        <v>10</v>
      </c>
      <c r="C265" s="17" t="s">
        <v>70</v>
      </c>
      <c r="D265" s="16" t="s">
        <v>68</v>
      </c>
      <c r="E265" s="17" t="n">
        <v>13</v>
      </c>
      <c r="F265" s="26" t="n">
        <v>5.65643636447956E-006</v>
      </c>
      <c r="G265" s="17" t="n">
        <v>21</v>
      </c>
      <c r="H265" s="17" t="n">
        <v>600</v>
      </c>
      <c r="I265" s="17"/>
      <c r="J265" s="17" t="n">
        <v>5</v>
      </c>
      <c r="K265" s="17"/>
      <c r="L265" s="17"/>
      <c r="M265" s="17" t="n">
        <v>2</v>
      </c>
      <c r="N265" s="27" t="str">
        <f aca="false">IF(F265=_xlfn.MINIFS($F$2:$F$948,$A$2:$A$948,$A265,$B$2:$B$948,$B265),"BEST","")</f>
        <v>BEST</v>
      </c>
    </row>
    <row r="266" customFormat="false" ht="15" hidden="false" customHeight="false" outlineLevel="0" collapsed="false">
      <c r="A266" s="16" t="s">
        <v>45</v>
      </c>
      <c r="B266" s="17" t="n">
        <v>10</v>
      </c>
      <c r="C266" s="17" t="s">
        <v>70</v>
      </c>
      <c r="D266" s="16" t="s">
        <v>68</v>
      </c>
      <c r="E266" s="17" t="n">
        <v>14</v>
      </c>
      <c r="F266" s="26" t="n">
        <v>5.65643636447956E-006</v>
      </c>
      <c r="G266" s="17" t="n">
        <v>21</v>
      </c>
      <c r="H266" s="17" t="n">
        <v>600</v>
      </c>
      <c r="I266" s="17"/>
      <c r="J266" s="17" t="n">
        <v>5</v>
      </c>
      <c r="K266" s="17"/>
      <c r="L266" s="17"/>
      <c r="M266" s="17" t="n">
        <v>2</v>
      </c>
      <c r="N266" s="27" t="str">
        <f aca="false">IF(F266=_xlfn.MINIFS($F$2:$F$948,$A$2:$A$948,$A266,$B$2:$B$948,$B266),"BEST","")</f>
        <v>BEST</v>
      </c>
    </row>
    <row r="267" customFormat="false" ht="15" hidden="false" customHeight="false" outlineLevel="0" collapsed="false">
      <c r="A267" s="16" t="s">
        <v>45</v>
      </c>
      <c r="B267" s="17" t="n">
        <v>10</v>
      </c>
      <c r="C267" s="17" t="s">
        <v>70</v>
      </c>
      <c r="D267" s="16" t="s">
        <v>68</v>
      </c>
      <c r="E267" s="17" t="n">
        <v>15</v>
      </c>
      <c r="F267" s="26" t="n">
        <v>5.65643636447956E-006</v>
      </c>
      <c r="G267" s="17" t="n">
        <v>21</v>
      </c>
      <c r="H267" s="17" t="n">
        <v>600</v>
      </c>
      <c r="I267" s="17"/>
      <c r="J267" s="17" t="n">
        <v>5</v>
      </c>
      <c r="K267" s="17"/>
      <c r="L267" s="17"/>
      <c r="M267" s="17" t="n">
        <v>2</v>
      </c>
      <c r="N267" s="27" t="str">
        <f aca="false">IF(F267=_xlfn.MINIFS($F$2:$F$948,$A$2:$A$948,$A267,$B$2:$B$948,$B267),"BEST","")</f>
        <v>BEST</v>
      </c>
    </row>
    <row r="268" customFormat="false" ht="15" hidden="false" customHeight="false" outlineLevel="0" collapsed="false">
      <c r="A268" s="16" t="s">
        <v>45</v>
      </c>
      <c r="B268" s="17" t="n">
        <v>10</v>
      </c>
      <c r="C268" s="17" t="s">
        <v>70</v>
      </c>
      <c r="D268" s="16" t="s">
        <v>68</v>
      </c>
      <c r="E268" s="17" t="n">
        <v>16</v>
      </c>
      <c r="F268" s="26" t="n">
        <v>5.65643636447956E-006</v>
      </c>
      <c r="G268" s="17" t="n">
        <v>21</v>
      </c>
      <c r="H268" s="17" t="n">
        <v>600</v>
      </c>
      <c r="I268" s="17"/>
      <c r="J268" s="17" t="n">
        <v>5</v>
      </c>
      <c r="K268" s="17"/>
      <c r="L268" s="17"/>
      <c r="M268" s="17" t="n">
        <v>2</v>
      </c>
      <c r="N268" s="27" t="str">
        <f aca="false">IF(F268=_xlfn.MINIFS($F$2:$F$948,$A$2:$A$948,$A268,$B$2:$B$948,$B268),"BEST","")</f>
        <v>BEST</v>
      </c>
    </row>
    <row r="269" customFormat="false" ht="15" hidden="false" customHeight="false" outlineLevel="0" collapsed="false">
      <c r="A269" s="16" t="s">
        <v>45</v>
      </c>
      <c r="B269" s="17" t="n">
        <v>10</v>
      </c>
      <c r="C269" s="17" t="s">
        <v>70</v>
      </c>
      <c r="D269" s="16" t="s">
        <v>68</v>
      </c>
      <c r="E269" s="17" t="n">
        <v>17</v>
      </c>
      <c r="F269" s="26" t="n">
        <v>5.65643636447956E-006</v>
      </c>
      <c r="G269" s="17" t="n">
        <v>21</v>
      </c>
      <c r="H269" s="17" t="n">
        <v>600</v>
      </c>
      <c r="I269" s="17"/>
      <c r="J269" s="17" t="n">
        <v>5</v>
      </c>
      <c r="K269" s="17"/>
      <c r="L269" s="17"/>
      <c r="M269" s="17" t="n">
        <v>2</v>
      </c>
      <c r="N269" s="27" t="str">
        <f aca="false">IF(F269=_xlfn.MINIFS($F$2:$F$948,$A$2:$A$948,$A269,$B$2:$B$948,$B269),"BEST","")</f>
        <v>BEST</v>
      </c>
    </row>
    <row r="270" customFormat="false" ht="15" hidden="false" customHeight="false" outlineLevel="0" collapsed="false">
      <c r="A270" s="16" t="s">
        <v>45</v>
      </c>
      <c r="B270" s="17" t="n">
        <v>10</v>
      </c>
      <c r="C270" s="17" t="s">
        <v>70</v>
      </c>
      <c r="D270" s="16" t="s">
        <v>68</v>
      </c>
      <c r="E270" s="17" t="n">
        <v>18</v>
      </c>
      <c r="F270" s="26" t="n">
        <v>5.65643636447956E-006</v>
      </c>
      <c r="G270" s="17" t="n">
        <v>21</v>
      </c>
      <c r="H270" s="17" t="n">
        <v>600</v>
      </c>
      <c r="I270" s="17"/>
      <c r="J270" s="17" t="n">
        <v>5</v>
      </c>
      <c r="K270" s="17"/>
      <c r="L270" s="17"/>
      <c r="M270" s="17" t="n">
        <v>2</v>
      </c>
      <c r="N270" s="27" t="str">
        <f aca="false">IF(F270=_xlfn.MINIFS($F$2:$F$948,$A$2:$A$948,$A270,$B$2:$B$948,$B270),"BEST","")</f>
        <v>BEST</v>
      </c>
    </row>
    <row r="271" customFormat="false" ht="15" hidden="false" customHeight="false" outlineLevel="0" collapsed="false">
      <c r="A271" s="16" t="s">
        <v>45</v>
      </c>
      <c r="B271" s="17" t="n">
        <v>10</v>
      </c>
      <c r="C271" s="17" t="s">
        <v>70</v>
      </c>
      <c r="D271" s="16" t="s">
        <v>68</v>
      </c>
      <c r="E271" s="17" t="n">
        <v>19</v>
      </c>
      <c r="F271" s="26" t="n">
        <v>5.65643636447956E-006</v>
      </c>
      <c r="G271" s="17" t="n">
        <v>21</v>
      </c>
      <c r="H271" s="17" t="n">
        <v>600</v>
      </c>
      <c r="I271" s="17"/>
      <c r="J271" s="17" t="n">
        <v>5</v>
      </c>
      <c r="K271" s="17"/>
      <c r="L271" s="17"/>
      <c r="M271" s="17" t="n">
        <v>2</v>
      </c>
      <c r="N271" s="27" t="str">
        <f aca="false">IF(F271=_xlfn.MINIFS($F$2:$F$948,$A$2:$A$948,$A271,$B$2:$B$948,$B271),"BEST","")</f>
        <v>BEST</v>
      </c>
    </row>
    <row r="272" customFormat="false" ht="15" hidden="false" customHeight="false" outlineLevel="0" collapsed="false">
      <c r="A272" s="22" t="s">
        <v>45</v>
      </c>
      <c r="B272" s="23" t="n">
        <v>10</v>
      </c>
      <c r="C272" s="23" t="s">
        <v>71</v>
      </c>
      <c r="D272" s="22" t="s">
        <v>72</v>
      </c>
      <c r="E272" s="23" t="n">
        <v>0</v>
      </c>
      <c r="F272" s="28" t="n">
        <v>0.00441236623409293</v>
      </c>
      <c r="G272" s="23" t="n">
        <v>160</v>
      </c>
      <c r="H272" s="23" t="n">
        <v>600</v>
      </c>
      <c r="I272" s="23" t="n">
        <v>4</v>
      </c>
      <c r="J272" s="23" t="n">
        <v>5</v>
      </c>
      <c r="K272" s="22" t="s">
        <v>73</v>
      </c>
      <c r="L272" s="22" t="s">
        <v>74</v>
      </c>
      <c r="M272" s="23"/>
      <c r="N272" s="27" t="str">
        <f aca="false">IF(F272=_xlfn.MINIFS($F$2:$F$948,$A$2:$A$948,$A272,$B$2:$B$948,$B272),"BEST","")</f>
        <v/>
      </c>
    </row>
    <row r="273" customFormat="false" ht="15" hidden="false" customHeight="false" outlineLevel="0" collapsed="false">
      <c r="A273" s="22" t="s">
        <v>45</v>
      </c>
      <c r="B273" s="23" t="n">
        <v>10</v>
      </c>
      <c r="C273" s="23" t="s">
        <v>71</v>
      </c>
      <c r="D273" s="22" t="s">
        <v>72</v>
      </c>
      <c r="E273" s="23" t="n">
        <v>1</v>
      </c>
      <c r="F273" s="28" t="n">
        <v>0.0045375525558673</v>
      </c>
      <c r="G273" s="23" t="n">
        <v>160</v>
      </c>
      <c r="H273" s="23" t="n">
        <v>600</v>
      </c>
      <c r="I273" s="23" t="n">
        <v>4</v>
      </c>
      <c r="J273" s="23" t="n">
        <v>5</v>
      </c>
      <c r="K273" s="22" t="s">
        <v>73</v>
      </c>
      <c r="L273" s="22" t="s">
        <v>74</v>
      </c>
      <c r="M273" s="23"/>
      <c r="N273" s="27" t="str">
        <f aca="false">IF(F273=_xlfn.MINIFS($F$2:$F$948,$A$2:$A$948,$A273,$B$2:$B$948,$B273),"BEST","")</f>
        <v/>
      </c>
    </row>
    <row r="274" customFormat="false" ht="15" hidden="false" customHeight="false" outlineLevel="0" collapsed="false">
      <c r="A274" s="22" t="s">
        <v>45</v>
      </c>
      <c r="B274" s="23" t="n">
        <v>10</v>
      </c>
      <c r="C274" s="23" t="s">
        <v>71</v>
      </c>
      <c r="D274" s="22" t="s">
        <v>72</v>
      </c>
      <c r="E274" s="23" t="n">
        <v>2</v>
      </c>
      <c r="F274" s="28" t="n">
        <v>0.0045749765723881</v>
      </c>
      <c r="G274" s="23" t="n">
        <v>160</v>
      </c>
      <c r="H274" s="23" t="n">
        <v>600</v>
      </c>
      <c r="I274" s="23" t="n">
        <v>4</v>
      </c>
      <c r="J274" s="23" t="n">
        <v>5</v>
      </c>
      <c r="K274" s="22" t="s">
        <v>73</v>
      </c>
      <c r="L274" s="22" t="s">
        <v>74</v>
      </c>
      <c r="M274" s="23"/>
      <c r="N274" s="27" t="str">
        <f aca="false">IF(F274=_xlfn.MINIFS($F$2:$F$948,$A$2:$A$948,$A274,$B$2:$B$948,$B274),"BEST","")</f>
        <v/>
      </c>
    </row>
    <row r="275" customFormat="false" ht="15" hidden="false" customHeight="false" outlineLevel="0" collapsed="false">
      <c r="A275" s="22" t="s">
        <v>45</v>
      </c>
      <c r="B275" s="23" t="n">
        <v>10</v>
      </c>
      <c r="C275" s="23" t="s">
        <v>71</v>
      </c>
      <c r="D275" s="22" t="s">
        <v>72</v>
      </c>
      <c r="E275" s="23" t="n">
        <v>3</v>
      </c>
      <c r="F275" s="28" t="n">
        <v>0.00451835560684159</v>
      </c>
      <c r="G275" s="23" t="n">
        <v>160</v>
      </c>
      <c r="H275" s="23" t="n">
        <v>600</v>
      </c>
      <c r="I275" s="23" t="n">
        <v>4</v>
      </c>
      <c r="J275" s="23" t="n">
        <v>5</v>
      </c>
      <c r="K275" s="22" t="s">
        <v>73</v>
      </c>
      <c r="L275" s="22" t="s">
        <v>74</v>
      </c>
      <c r="M275" s="23"/>
      <c r="N275" s="27" t="str">
        <f aca="false">IF(F275=_xlfn.MINIFS($F$2:$F$948,$A$2:$A$948,$A275,$B$2:$B$948,$B275),"BEST","")</f>
        <v/>
      </c>
    </row>
    <row r="276" customFormat="false" ht="15" hidden="false" customHeight="false" outlineLevel="0" collapsed="false">
      <c r="A276" s="22" t="s">
        <v>45</v>
      </c>
      <c r="B276" s="23" t="n">
        <v>10</v>
      </c>
      <c r="C276" s="23" t="s">
        <v>71</v>
      </c>
      <c r="D276" s="22" t="s">
        <v>72</v>
      </c>
      <c r="E276" s="23" t="n">
        <v>4</v>
      </c>
      <c r="F276" s="28" t="n">
        <v>0.00452674483554059</v>
      </c>
      <c r="G276" s="23" t="n">
        <v>160</v>
      </c>
      <c r="H276" s="23" t="n">
        <v>600</v>
      </c>
      <c r="I276" s="23" t="n">
        <v>4</v>
      </c>
      <c r="J276" s="23" t="n">
        <v>5</v>
      </c>
      <c r="K276" s="22" t="s">
        <v>73</v>
      </c>
      <c r="L276" s="22" t="s">
        <v>74</v>
      </c>
      <c r="M276" s="23"/>
      <c r="N276" s="27" t="str">
        <f aca="false">IF(F276=_xlfn.MINIFS($F$2:$F$948,$A$2:$A$948,$A276,$B$2:$B$948,$B276),"BEST","")</f>
        <v/>
      </c>
    </row>
    <row r="277" customFormat="false" ht="15" hidden="false" customHeight="false" outlineLevel="0" collapsed="false">
      <c r="A277" s="16" t="s">
        <v>45</v>
      </c>
      <c r="B277" s="17" t="n">
        <v>12</v>
      </c>
      <c r="C277" s="17" t="s">
        <v>67</v>
      </c>
      <c r="D277" s="16" t="s">
        <v>68</v>
      </c>
      <c r="E277" s="17" t="n">
        <v>0</v>
      </c>
      <c r="F277" s="26" t="n">
        <v>0.000908308784565366</v>
      </c>
      <c r="G277" s="17" t="n">
        <v>192</v>
      </c>
      <c r="H277" s="17" t="n">
        <v>600</v>
      </c>
      <c r="I277" s="17"/>
      <c r="J277" s="17" t="n">
        <v>5</v>
      </c>
      <c r="K277" s="17"/>
      <c r="L277" s="17"/>
      <c r="M277" s="17"/>
      <c r="N277" s="27" t="str">
        <f aca="false">IF(F277=_xlfn.MINIFS($F$2:$F$948,$A$2:$A$948,$A277,$B$2:$B$948,$B277),"BEST","")</f>
        <v/>
      </c>
    </row>
    <row r="278" customFormat="false" ht="15" hidden="false" customHeight="false" outlineLevel="0" collapsed="false">
      <c r="A278" s="16" t="s">
        <v>45</v>
      </c>
      <c r="B278" s="17" t="n">
        <v>12</v>
      </c>
      <c r="C278" s="17" t="s">
        <v>67</v>
      </c>
      <c r="D278" s="16" t="s">
        <v>68</v>
      </c>
      <c r="E278" s="17" t="n">
        <v>1</v>
      </c>
      <c r="F278" s="26" t="n">
        <v>0.00104418820282854</v>
      </c>
      <c r="G278" s="17" t="n">
        <v>192</v>
      </c>
      <c r="H278" s="17" t="n">
        <v>600</v>
      </c>
      <c r="I278" s="17"/>
      <c r="J278" s="17" t="n">
        <v>5</v>
      </c>
      <c r="K278" s="17"/>
      <c r="L278" s="17"/>
      <c r="M278" s="17"/>
      <c r="N278" s="27" t="str">
        <f aca="false">IF(F278=_xlfn.MINIFS($F$2:$F$948,$A$2:$A$948,$A278,$B$2:$B$948,$B278),"BEST","")</f>
        <v/>
      </c>
    </row>
    <row r="279" customFormat="false" ht="15" hidden="false" customHeight="false" outlineLevel="0" collapsed="false">
      <c r="A279" s="16" t="s">
        <v>45</v>
      </c>
      <c r="B279" s="17" t="n">
        <v>12</v>
      </c>
      <c r="C279" s="17" t="s">
        <v>67</v>
      </c>
      <c r="D279" s="16" t="s">
        <v>68</v>
      </c>
      <c r="E279" s="17" t="n">
        <v>2</v>
      </c>
      <c r="F279" s="26" t="n">
        <v>0.00134513256128869</v>
      </c>
      <c r="G279" s="17" t="n">
        <v>192</v>
      </c>
      <c r="H279" s="17" t="n">
        <v>600</v>
      </c>
      <c r="I279" s="17"/>
      <c r="J279" s="17" t="n">
        <v>5</v>
      </c>
      <c r="K279" s="17"/>
      <c r="L279" s="17"/>
      <c r="M279" s="17"/>
      <c r="N279" s="27" t="str">
        <f aca="false">IF(F279=_xlfn.MINIFS($F$2:$F$948,$A$2:$A$948,$A279,$B$2:$B$948,$B279),"BEST","")</f>
        <v/>
      </c>
    </row>
    <row r="280" customFormat="false" ht="15" hidden="false" customHeight="false" outlineLevel="0" collapsed="false">
      <c r="A280" s="16" t="s">
        <v>45</v>
      </c>
      <c r="B280" s="17" t="n">
        <v>12</v>
      </c>
      <c r="C280" s="17" t="s">
        <v>67</v>
      </c>
      <c r="D280" s="16" t="s">
        <v>68</v>
      </c>
      <c r="E280" s="17" t="n">
        <v>3</v>
      </c>
      <c r="F280" s="26" t="n">
        <v>0.00102111483393304</v>
      </c>
      <c r="G280" s="17" t="n">
        <v>192</v>
      </c>
      <c r="H280" s="17" t="n">
        <v>600</v>
      </c>
      <c r="I280" s="17"/>
      <c r="J280" s="17" t="n">
        <v>5</v>
      </c>
      <c r="K280" s="17"/>
      <c r="L280" s="17"/>
      <c r="M280" s="17"/>
      <c r="N280" s="27" t="str">
        <f aca="false">IF(F280=_xlfn.MINIFS($F$2:$F$948,$A$2:$A$948,$A280,$B$2:$B$948,$B280),"BEST","")</f>
        <v/>
      </c>
    </row>
    <row r="281" customFormat="false" ht="15" hidden="false" customHeight="false" outlineLevel="0" collapsed="false">
      <c r="A281" s="16" t="s">
        <v>45</v>
      </c>
      <c r="B281" s="17" t="n">
        <v>12</v>
      </c>
      <c r="C281" s="17" t="s">
        <v>67</v>
      </c>
      <c r="D281" s="16" t="s">
        <v>68</v>
      </c>
      <c r="E281" s="17" t="n">
        <v>4</v>
      </c>
      <c r="F281" s="26" t="n">
        <v>0.00111756982068117</v>
      </c>
      <c r="G281" s="17" t="n">
        <v>192</v>
      </c>
      <c r="H281" s="17" t="n">
        <v>600</v>
      </c>
      <c r="I281" s="17"/>
      <c r="J281" s="17" t="n">
        <v>5</v>
      </c>
      <c r="K281" s="17"/>
      <c r="L281" s="17"/>
      <c r="M281" s="17"/>
      <c r="N281" s="27" t="str">
        <f aca="false">IF(F281=_xlfn.MINIFS($F$2:$F$948,$A$2:$A$948,$A281,$B$2:$B$948,$B281),"BEST","")</f>
        <v/>
      </c>
    </row>
    <row r="282" customFormat="false" ht="15" hidden="false" customHeight="false" outlineLevel="0" collapsed="false">
      <c r="A282" s="16" t="s">
        <v>45</v>
      </c>
      <c r="B282" s="17" t="n">
        <v>12</v>
      </c>
      <c r="C282" s="17" t="s">
        <v>67</v>
      </c>
      <c r="D282" s="16" t="s">
        <v>68</v>
      </c>
      <c r="E282" s="17" t="n">
        <v>5</v>
      </c>
      <c r="F282" s="26" t="n">
        <v>0.0010402245443378</v>
      </c>
      <c r="G282" s="17" t="n">
        <v>192</v>
      </c>
      <c r="H282" s="17" t="n">
        <v>600</v>
      </c>
      <c r="I282" s="17"/>
      <c r="J282" s="17" t="n">
        <v>5</v>
      </c>
      <c r="K282" s="17"/>
      <c r="L282" s="17"/>
      <c r="M282" s="17"/>
      <c r="N282" s="27" t="str">
        <f aca="false">IF(F282=_xlfn.MINIFS($F$2:$F$948,$A$2:$A$948,$A282,$B$2:$B$948,$B282),"BEST","")</f>
        <v/>
      </c>
    </row>
    <row r="283" customFormat="false" ht="15" hidden="false" customHeight="false" outlineLevel="0" collapsed="false">
      <c r="A283" s="16" t="s">
        <v>45</v>
      </c>
      <c r="B283" s="17" t="n">
        <v>12</v>
      </c>
      <c r="C283" s="17" t="s">
        <v>67</v>
      </c>
      <c r="D283" s="16" t="s">
        <v>68</v>
      </c>
      <c r="E283" s="17" t="n">
        <v>6</v>
      </c>
      <c r="F283" s="26" t="n">
        <v>0.000982761825695137</v>
      </c>
      <c r="G283" s="17" t="n">
        <v>192</v>
      </c>
      <c r="H283" s="17" t="n">
        <v>600</v>
      </c>
      <c r="I283" s="17"/>
      <c r="J283" s="17" t="n">
        <v>5</v>
      </c>
      <c r="K283" s="17"/>
      <c r="L283" s="17"/>
      <c r="M283" s="17"/>
      <c r="N283" s="27" t="str">
        <f aca="false">IF(F283=_xlfn.MINIFS($F$2:$F$948,$A$2:$A$948,$A283,$B$2:$B$948,$B283),"BEST","")</f>
        <v/>
      </c>
    </row>
    <row r="284" customFormat="false" ht="15" hidden="false" customHeight="false" outlineLevel="0" collapsed="false">
      <c r="A284" s="16" t="s">
        <v>45</v>
      </c>
      <c r="B284" s="17" t="n">
        <v>12</v>
      </c>
      <c r="C284" s="17" t="s">
        <v>67</v>
      </c>
      <c r="D284" s="16" t="s">
        <v>68</v>
      </c>
      <c r="E284" s="17" t="n">
        <v>7</v>
      </c>
      <c r="F284" s="26" t="n">
        <v>0.000912992153062571</v>
      </c>
      <c r="G284" s="17" t="n">
        <v>192</v>
      </c>
      <c r="H284" s="17" t="n">
        <v>600</v>
      </c>
      <c r="I284" s="17"/>
      <c r="J284" s="17" t="n">
        <v>5</v>
      </c>
      <c r="K284" s="17"/>
      <c r="L284" s="17"/>
      <c r="M284" s="17"/>
      <c r="N284" s="27" t="str">
        <f aca="false">IF(F284=_xlfn.MINIFS($F$2:$F$948,$A$2:$A$948,$A284,$B$2:$B$948,$B284),"BEST","")</f>
        <v/>
      </c>
    </row>
    <row r="285" customFormat="false" ht="15" hidden="false" customHeight="false" outlineLevel="0" collapsed="false">
      <c r="A285" s="16" t="s">
        <v>45</v>
      </c>
      <c r="B285" s="17" t="n">
        <v>12</v>
      </c>
      <c r="C285" s="17" t="s">
        <v>67</v>
      </c>
      <c r="D285" s="16" t="s">
        <v>68</v>
      </c>
      <c r="E285" s="17" t="n">
        <v>8</v>
      </c>
      <c r="F285" s="26" t="n">
        <v>0.000617634540608503</v>
      </c>
      <c r="G285" s="17" t="n">
        <v>192</v>
      </c>
      <c r="H285" s="17" t="n">
        <v>600</v>
      </c>
      <c r="I285" s="17"/>
      <c r="J285" s="17" t="n">
        <v>5</v>
      </c>
      <c r="K285" s="17"/>
      <c r="L285" s="17"/>
      <c r="M285" s="17"/>
      <c r="N285" s="27" t="str">
        <f aca="false">IF(F285=_xlfn.MINIFS($F$2:$F$948,$A$2:$A$948,$A285,$B$2:$B$948,$B285),"BEST","")</f>
        <v/>
      </c>
    </row>
    <row r="286" customFormat="false" ht="15" hidden="false" customHeight="false" outlineLevel="0" collapsed="false">
      <c r="A286" s="16" t="s">
        <v>45</v>
      </c>
      <c r="B286" s="17" t="n">
        <v>12</v>
      </c>
      <c r="C286" s="17" t="s">
        <v>67</v>
      </c>
      <c r="D286" s="16" t="s">
        <v>68</v>
      </c>
      <c r="E286" s="17" t="n">
        <v>9</v>
      </c>
      <c r="F286" s="26" t="n">
        <v>0.000956889959330616</v>
      </c>
      <c r="G286" s="17" t="n">
        <v>192</v>
      </c>
      <c r="H286" s="17" t="n">
        <v>600</v>
      </c>
      <c r="I286" s="17"/>
      <c r="J286" s="17" t="n">
        <v>5</v>
      </c>
      <c r="K286" s="17"/>
      <c r="L286" s="17"/>
      <c r="M286" s="17"/>
      <c r="N286" s="27" t="str">
        <f aca="false">IF(F286=_xlfn.MINIFS($F$2:$F$948,$A$2:$A$948,$A286,$B$2:$B$948,$B286),"BEST","")</f>
        <v/>
      </c>
    </row>
    <row r="287" customFormat="false" ht="15" hidden="false" customHeight="false" outlineLevel="0" collapsed="false">
      <c r="A287" s="16" t="s">
        <v>45</v>
      </c>
      <c r="B287" s="17" t="n">
        <v>12</v>
      </c>
      <c r="C287" s="17" t="s">
        <v>67</v>
      </c>
      <c r="D287" s="16" t="s">
        <v>68</v>
      </c>
      <c r="E287" s="17" t="n">
        <v>10</v>
      </c>
      <c r="F287" s="26" t="n">
        <v>0.000735162238266275</v>
      </c>
      <c r="G287" s="17" t="n">
        <v>192</v>
      </c>
      <c r="H287" s="17" t="n">
        <v>600</v>
      </c>
      <c r="I287" s="17"/>
      <c r="J287" s="17" t="n">
        <v>5</v>
      </c>
      <c r="K287" s="17"/>
      <c r="L287" s="17"/>
      <c r="M287" s="17"/>
      <c r="N287" s="27" t="str">
        <f aca="false">IF(F287=_xlfn.MINIFS($F$2:$F$948,$A$2:$A$948,$A287,$B$2:$B$948,$B287),"BEST","")</f>
        <v/>
      </c>
    </row>
    <row r="288" customFormat="false" ht="15" hidden="false" customHeight="false" outlineLevel="0" collapsed="false">
      <c r="A288" s="16" t="s">
        <v>45</v>
      </c>
      <c r="B288" s="17" t="n">
        <v>12</v>
      </c>
      <c r="C288" s="17" t="s">
        <v>67</v>
      </c>
      <c r="D288" s="16" t="s">
        <v>68</v>
      </c>
      <c r="E288" s="17" t="n">
        <v>11</v>
      </c>
      <c r="F288" s="26" t="n">
        <v>0.00154418189098676</v>
      </c>
      <c r="G288" s="17" t="n">
        <v>192</v>
      </c>
      <c r="H288" s="17" t="n">
        <v>600</v>
      </c>
      <c r="I288" s="17"/>
      <c r="J288" s="17" t="n">
        <v>5</v>
      </c>
      <c r="K288" s="17"/>
      <c r="L288" s="17"/>
      <c r="M288" s="17"/>
      <c r="N288" s="27" t="str">
        <f aca="false">IF(F288=_xlfn.MINIFS($F$2:$F$948,$A$2:$A$948,$A288,$B$2:$B$948,$B288),"BEST","")</f>
        <v/>
      </c>
    </row>
    <row r="289" customFormat="false" ht="15" hidden="false" customHeight="false" outlineLevel="0" collapsed="false">
      <c r="A289" s="16" t="s">
        <v>45</v>
      </c>
      <c r="B289" s="17" t="n">
        <v>12</v>
      </c>
      <c r="C289" s="17" t="s">
        <v>67</v>
      </c>
      <c r="D289" s="16" t="s">
        <v>68</v>
      </c>
      <c r="E289" s="17" t="n">
        <v>12</v>
      </c>
      <c r="F289" s="26" t="n">
        <v>0.000733431333392901</v>
      </c>
      <c r="G289" s="17" t="n">
        <v>192</v>
      </c>
      <c r="H289" s="17" t="n">
        <v>600</v>
      </c>
      <c r="I289" s="17"/>
      <c r="J289" s="17" t="n">
        <v>5</v>
      </c>
      <c r="K289" s="17"/>
      <c r="L289" s="17"/>
      <c r="M289" s="17"/>
      <c r="N289" s="27" t="str">
        <f aca="false">IF(F289=_xlfn.MINIFS($F$2:$F$948,$A$2:$A$948,$A289,$B$2:$B$948,$B289),"BEST","")</f>
        <v/>
      </c>
    </row>
    <row r="290" customFormat="false" ht="15" hidden="false" customHeight="false" outlineLevel="0" collapsed="false">
      <c r="A290" s="16" t="s">
        <v>45</v>
      </c>
      <c r="B290" s="17" t="n">
        <v>12</v>
      </c>
      <c r="C290" s="17" t="s">
        <v>67</v>
      </c>
      <c r="D290" s="16" t="s">
        <v>68</v>
      </c>
      <c r="E290" s="17" t="n">
        <v>13</v>
      </c>
      <c r="F290" s="26" t="n">
        <v>0.0013620895979684</v>
      </c>
      <c r="G290" s="17" t="n">
        <v>192</v>
      </c>
      <c r="H290" s="17" t="n">
        <v>600</v>
      </c>
      <c r="I290" s="17"/>
      <c r="J290" s="17" t="n">
        <v>5</v>
      </c>
      <c r="K290" s="17"/>
      <c r="L290" s="17"/>
      <c r="M290" s="17"/>
      <c r="N290" s="27" t="str">
        <f aca="false">IF(F290=_xlfn.MINIFS($F$2:$F$948,$A$2:$A$948,$A290,$B$2:$B$948,$B290),"BEST","")</f>
        <v/>
      </c>
    </row>
    <row r="291" customFormat="false" ht="15" hidden="false" customHeight="false" outlineLevel="0" collapsed="false">
      <c r="A291" s="16" t="s">
        <v>45</v>
      </c>
      <c r="B291" s="17" t="n">
        <v>12</v>
      </c>
      <c r="C291" s="17" t="s">
        <v>67</v>
      </c>
      <c r="D291" s="16" t="s">
        <v>68</v>
      </c>
      <c r="E291" s="17" t="n">
        <v>14</v>
      </c>
      <c r="F291" s="26" t="n">
        <v>0.00111700595205701</v>
      </c>
      <c r="G291" s="17" t="n">
        <v>192</v>
      </c>
      <c r="H291" s="17" t="n">
        <v>600</v>
      </c>
      <c r="I291" s="17"/>
      <c r="J291" s="17" t="n">
        <v>5</v>
      </c>
      <c r="K291" s="17"/>
      <c r="L291" s="17"/>
      <c r="M291" s="17"/>
      <c r="N291" s="27" t="str">
        <f aca="false">IF(F291=_xlfn.MINIFS($F$2:$F$948,$A$2:$A$948,$A291,$B$2:$B$948,$B291),"BEST","")</f>
        <v/>
      </c>
    </row>
    <row r="292" customFormat="false" ht="15" hidden="false" customHeight="false" outlineLevel="0" collapsed="false">
      <c r="A292" s="16" t="s">
        <v>45</v>
      </c>
      <c r="B292" s="17" t="n">
        <v>12</v>
      </c>
      <c r="C292" s="17" t="s">
        <v>67</v>
      </c>
      <c r="D292" s="16" t="s">
        <v>68</v>
      </c>
      <c r="E292" s="17" t="n">
        <v>15</v>
      </c>
      <c r="F292" s="26" t="n">
        <v>0.000838769439000032</v>
      </c>
      <c r="G292" s="17" t="n">
        <v>192</v>
      </c>
      <c r="H292" s="17" t="n">
        <v>600</v>
      </c>
      <c r="I292" s="17"/>
      <c r="J292" s="17" t="n">
        <v>5</v>
      </c>
      <c r="K292" s="17"/>
      <c r="L292" s="17"/>
      <c r="M292" s="17"/>
      <c r="N292" s="27" t="str">
        <f aca="false">IF(F292=_xlfn.MINIFS($F$2:$F$948,$A$2:$A$948,$A292,$B$2:$B$948,$B292),"BEST","")</f>
        <v/>
      </c>
    </row>
    <row r="293" customFormat="false" ht="15" hidden="false" customHeight="false" outlineLevel="0" collapsed="false">
      <c r="A293" s="16" t="s">
        <v>45</v>
      </c>
      <c r="B293" s="17" t="n">
        <v>12</v>
      </c>
      <c r="C293" s="17" t="s">
        <v>67</v>
      </c>
      <c r="D293" s="16" t="s">
        <v>68</v>
      </c>
      <c r="E293" s="17" t="n">
        <v>16</v>
      </c>
      <c r="F293" s="26" t="n">
        <v>0.00189423663800548</v>
      </c>
      <c r="G293" s="17" t="n">
        <v>192</v>
      </c>
      <c r="H293" s="17" t="n">
        <v>600</v>
      </c>
      <c r="I293" s="17"/>
      <c r="J293" s="17" t="n">
        <v>5</v>
      </c>
      <c r="K293" s="17"/>
      <c r="L293" s="17"/>
      <c r="M293" s="17"/>
      <c r="N293" s="27" t="str">
        <f aca="false">IF(F293=_xlfn.MINIFS($F$2:$F$948,$A$2:$A$948,$A293,$B$2:$B$948,$B293),"BEST","")</f>
        <v/>
      </c>
    </row>
    <row r="294" customFormat="false" ht="15" hidden="false" customHeight="false" outlineLevel="0" collapsed="false">
      <c r="A294" s="16" t="s">
        <v>45</v>
      </c>
      <c r="B294" s="17" t="n">
        <v>12</v>
      </c>
      <c r="C294" s="17" t="s">
        <v>67</v>
      </c>
      <c r="D294" s="16" t="s">
        <v>68</v>
      </c>
      <c r="E294" s="17" t="n">
        <v>17</v>
      </c>
      <c r="F294" s="26" t="n">
        <v>0.000787163396118729</v>
      </c>
      <c r="G294" s="17" t="n">
        <v>192</v>
      </c>
      <c r="H294" s="17" t="n">
        <v>600</v>
      </c>
      <c r="I294" s="17"/>
      <c r="J294" s="17" t="n">
        <v>5</v>
      </c>
      <c r="K294" s="17"/>
      <c r="L294" s="17"/>
      <c r="M294" s="17"/>
      <c r="N294" s="27" t="str">
        <f aca="false">IF(F294=_xlfn.MINIFS($F$2:$F$948,$A$2:$A$948,$A294,$B$2:$B$948,$B294),"BEST","")</f>
        <v/>
      </c>
    </row>
    <row r="295" customFormat="false" ht="15" hidden="false" customHeight="false" outlineLevel="0" collapsed="false">
      <c r="A295" s="16" t="s">
        <v>45</v>
      </c>
      <c r="B295" s="17" t="n">
        <v>12</v>
      </c>
      <c r="C295" s="17" t="s">
        <v>67</v>
      </c>
      <c r="D295" s="16" t="s">
        <v>68</v>
      </c>
      <c r="E295" s="17" t="n">
        <v>18</v>
      </c>
      <c r="F295" s="26" t="n">
        <v>0.000720957287630758</v>
      </c>
      <c r="G295" s="17" t="n">
        <v>192</v>
      </c>
      <c r="H295" s="17" t="n">
        <v>600</v>
      </c>
      <c r="I295" s="17"/>
      <c r="J295" s="17" t="n">
        <v>5</v>
      </c>
      <c r="K295" s="17"/>
      <c r="L295" s="17"/>
      <c r="M295" s="17"/>
      <c r="N295" s="27" t="str">
        <f aca="false">IF(F295=_xlfn.MINIFS($F$2:$F$948,$A$2:$A$948,$A295,$B$2:$B$948,$B295),"BEST","")</f>
        <v/>
      </c>
    </row>
    <row r="296" customFormat="false" ht="15" hidden="false" customHeight="false" outlineLevel="0" collapsed="false">
      <c r="A296" s="16" t="s">
        <v>45</v>
      </c>
      <c r="B296" s="17" t="n">
        <v>12</v>
      </c>
      <c r="C296" s="17" t="s">
        <v>67</v>
      </c>
      <c r="D296" s="16" t="s">
        <v>68</v>
      </c>
      <c r="E296" s="17" t="n">
        <v>19</v>
      </c>
      <c r="F296" s="26" t="n">
        <v>0.000877205113151908</v>
      </c>
      <c r="G296" s="17" t="n">
        <v>192</v>
      </c>
      <c r="H296" s="17" t="n">
        <v>600</v>
      </c>
      <c r="I296" s="17"/>
      <c r="J296" s="17" t="n">
        <v>5</v>
      </c>
      <c r="K296" s="17"/>
      <c r="L296" s="17"/>
      <c r="M296" s="17"/>
      <c r="N296" s="27" t="str">
        <f aca="false">IF(F296=_xlfn.MINIFS($F$2:$F$948,$A$2:$A$948,$A296,$B$2:$B$948,$B296),"BEST","")</f>
        <v/>
      </c>
    </row>
    <row r="297" customFormat="false" ht="15" hidden="false" customHeight="false" outlineLevel="0" collapsed="false">
      <c r="A297" s="16" t="s">
        <v>45</v>
      </c>
      <c r="B297" s="17" t="n">
        <v>12</v>
      </c>
      <c r="C297" s="17" t="s">
        <v>69</v>
      </c>
      <c r="D297" s="16" t="s">
        <v>68</v>
      </c>
      <c r="E297" s="17" t="n">
        <v>0</v>
      </c>
      <c r="F297" s="26" t="n">
        <v>0.0170764534505558</v>
      </c>
      <c r="G297" s="17" t="n">
        <v>192</v>
      </c>
      <c r="H297" s="17" t="n">
        <v>600</v>
      </c>
      <c r="I297" s="17"/>
      <c r="J297" s="17" t="n">
        <v>5</v>
      </c>
      <c r="K297" s="17"/>
      <c r="L297" s="17"/>
      <c r="M297" s="17"/>
      <c r="N297" s="27" t="str">
        <f aca="false">IF(F297=_xlfn.MINIFS($F$2:$F$948,$A$2:$A$948,$A297,$B$2:$B$948,$B297),"BEST","")</f>
        <v/>
      </c>
    </row>
    <row r="298" customFormat="false" ht="15" hidden="false" customHeight="false" outlineLevel="0" collapsed="false">
      <c r="A298" s="16" t="s">
        <v>45</v>
      </c>
      <c r="B298" s="17" t="n">
        <v>12</v>
      </c>
      <c r="C298" s="17" t="s">
        <v>69</v>
      </c>
      <c r="D298" s="16" t="s">
        <v>68</v>
      </c>
      <c r="E298" s="17" t="n">
        <v>1</v>
      </c>
      <c r="F298" s="26" t="n">
        <v>0.0162961872829814</v>
      </c>
      <c r="G298" s="17" t="n">
        <v>192</v>
      </c>
      <c r="H298" s="17" t="n">
        <v>600</v>
      </c>
      <c r="I298" s="17"/>
      <c r="J298" s="17" t="n">
        <v>5</v>
      </c>
      <c r="K298" s="17"/>
      <c r="L298" s="17"/>
      <c r="M298" s="17"/>
      <c r="N298" s="27" t="str">
        <f aca="false">IF(F298=_xlfn.MINIFS($F$2:$F$948,$A$2:$A$948,$A298,$B$2:$B$948,$B298),"BEST","")</f>
        <v/>
      </c>
    </row>
    <row r="299" customFormat="false" ht="15" hidden="false" customHeight="false" outlineLevel="0" collapsed="false">
      <c r="A299" s="16" t="s">
        <v>45</v>
      </c>
      <c r="B299" s="17" t="n">
        <v>12</v>
      </c>
      <c r="C299" s="17" t="s">
        <v>69</v>
      </c>
      <c r="D299" s="16" t="s">
        <v>68</v>
      </c>
      <c r="E299" s="17" t="n">
        <v>2</v>
      </c>
      <c r="F299" s="26" t="n">
        <v>0.0157929769730354</v>
      </c>
      <c r="G299" s="17" t="n">
        <v>192</v>
      </c>
      <c r="H299" s="17" t="n">
        <v>600</v>
      </c>
      <c r="I299" s="17"/>
      <c r="J299" s="17" t="n">
        <v>5</v>
      </c>
      <c r="K299" s="17"/>
      <c r="L299" s="17"/>
      <c r="M299" s="17"/>
      <c r="N299" s="27" t="str">
        <f aca="false">IF(F299=_xlfn.MINIFS($F$2:$F$948,$A$2:$A$948,$A299,$B$2:$B$948,$B299),"BEST","")</f>
        <v/>
      </c>
    </row>
    <row r="300" customFormat="false" ht="15" hidden="false" customHeight="false" outlineLevel="0" collapsed="false">
      <c r="A300" s="16" t="s">
        <v>45</v>
      </c>
      <c r="B300" s="17" t="n">
        <v>12</v>
      </c>
      <c r="C300" s="17" t="s">
        <v>69</v>
      </c>
      <c r="D300" s="16" t="s">
        <v>68</v>
      </c>
      <c r="E300" s="17" t="n">
        <v>3</v>
      </c>
      <c r="F300" s="26" t="n">
        <v>0.0182388877644068</v>
      </c>
      <c r="G300" s="17" t="n">
        <v>192</v>
      </c>
      <c r="H300" s="17" t="n">
        <v>600</v>
      </c>
      <c r="I300" s="17"/>
      <c r="J300" s="17" t="n">
        <v>5</v>
      </c>
      <c r="K300" s="17"/>
      <c r="L300" s="17"/>
      <c r="M300" s="17"/>
      <c r="N300" s="27" t="str">
        <f aca="false">IF(F300=_xlfn.MINIFS($F$2:$F$948,$A$2:$A$948,$A300,$B$2:$B$948,$B300),"BEST","")</f>
        <v/>
      </c>
    </row>
    <row r="301" customFormat="false" ht="15" hidden="false" customHeight="false" outlineLevel="0" collapsed="false">
      <c r="A301" s="16" t="s">
        <v>45</v>
      </c>
      <c r="B301" s="17" t="n">
        <v>12</v>
      </c>
      <c r="C301" s="17" t="s">
        <v>69</v>
      </c>
      <c r="D301" s="16" t="s">
        <v>68</v>
      </c>
      <c r="E301" s="17" t="n">
        <v>4</v>
      </c>
      <c r="F301" s="26" t="n">
        <v>0.0220756449821906</v>
      </c>
      <c r="G301" s="17" t="n">
        <v>192</v>
      </c>
      <c r="H301" s="17" t="n">
        <v>600</v>
      </c>
      <c r="I301" s="17"/>
      <c r="J301" s="17" t="n">
        <v>5</v>
      </c>
      <c r="K301" s="17"/>
      <c r="L301" s="17"/>
      <c r="M301" s="17"/>
      <c r="N301" s="27" t="str">
        <f aca="false">IF(F301=_xlfn.MINIFS($F$2:$F$948,$A$2:$A$948,$A301,$B$2:$B$948,$B301),"BEST","")</f>
        <v/>
      </c>
    </row>
    <row r="302" customFormat="false" ht="15" hidden="false" customHeight="false" outlineLevel="0" collapsed="false">
      <c r="A302" s="16" t="s">
        <v>45</v>
      </c>
      <c r="B302" s="17" t="n">
        <v>12</v>
      </c>
      <c r="C302" s="17" t="s">
        <v>69</v>
      </c>
      <c r="D302" s="16" t="s">
        <v>68</v>
      </c>
      <c r="E302" s="17" t="n">
        <v>5</v>
      </c>
      <c r="F302" s="26" t="n">
        <v>0.0164436346575496</v>
      </c>
      <c r="G302" s="17" t="n">
        <v>192</v>
      </c>
      <c r="H302" s="17" t="n">
        <v>600</v>
      </c>
      <c r="I302" s="17"/>
      <c r="J302" s="17" t="n">
        <v>5</v>
      </c>
      <c r="K302" s="17"/>
      <c r="L302" s="17"/>
      <c r="M302" s="17"/>
      <c r="N302" s="27" t="str">
        <f aca="false">IF(F302=_xlfn.MINIFS($F$2:$F$948,$A$2:$A$948,$A302,$B$2:$B$948,$B302),"BEST","")</f>
        <v/>
      </c>
    </row>
    <row r="303" customFormat="false" ht="15" hidden="false" customHeight="false" outlineLevel="0" collapsed="false">
      <c r="A303" s="16" t="s">
        <v>45</v>
      </c>
      <c r="B303" s="17" t="n">
        <v>12</v>
      </c>
      <c r="C303" s="17" t="s">
        <v>69</v>
      </c>
      <c r="D303" s="16" t="s">
        <v>68</v>
      </c>
      <c r="E303" s="17" t="n">
        <v>6</v>
      </c>
      <c r="F303" s="26" t="n">
        <v>0.019425929118591</v>
      </c>
      <c r="G303" s="17" t="n">
        <v>192</v>
      </c>
      <c r="H303" s="17" t="n">
        <v>600</v>
      </c>
      <c r="I303" s="17"/>
      <c r="J303" s="17" t="n">
        <v>5</v>
      </c>
      <c r="K303" s="17"/>
      <c r="L303" s="17"/>
      <c r="M303" s="17"/>
      <c r="N303" s="27" t="str">
        <f aca="false">IF(F303=_xlfn.MINIFS($F$2:$F$948,$A$2:$A$948,$A303,$B$2:$B$948,$B303),"BEST","")</f>
        <v/>
      </c>
    </row>
    <row r="304" customFormat="false" ht="15" hidden="false" customHeight="false" outlineLevel="0" collapsed="false">
      <c r="A304" s="16" t="s">
        <v>45</v>
      </c>
      <c r="B304" s="17" t="n">
        <v>12</v>
      </c>
      <c r="C304" s="17" t="s">
        <v>69</v>
      </c>
      <c r="D304" s="16" t="s">
        <v>68</v>
      </c>
      <c r="E304" s="17" t="n">
        <v>7</v>
      </c>
      <c r="F304" s="26" t="n">
        <v>0.0151301823302786</v>
      </c>
      <c r="G304" s="17" t="n">
        <v>192</v>
      </c>
      <c r="H304" s="17" t="n">
        <v>600</v>
      </c>
      <c r="I304" s="17"/>
      <c r="J304" s="17" t="n">
        <v>5</v>
      </c>
      <c r="K304" s="17"/>
      <c r="L304" s="17"/>
      <c r="M304" s="17"/>
      <c r="N304" s="27" t="str">
        <f aca="false">IF(F304=_xlfn.MINIFS($F$2:$F$948,$A$2:$A$948,$A304,$B$2:$B$948,$B304),"BEST","")</f>
        <v/>
      </c>
    </row>
    <row r="305" customFormat="false" ht="15" hidden="false" customHeight="false" outlineLevel="0" collapsed="false">
      <c r="A305" s="16" t="s">
        <v>45</v>
      </c>
      <c r="B305" s="17" t="n">
        <v>12</v>
      </c>
      <c r="C305" s="17" t="s">
        <v>69</v>
      </c>
      <c r="D305" s="16" t="s">
        <v>68</v>
      </c>
      <c r="E305" s="17" t="n">
        <v>8</v>
      </c>
      <c r="F305" s="26" t="n">
        <v>0.0182527051142194</v>
      </c>
      <c r="G305" s="17" t="n">
        <v>192</v>
      </c>
      <c r="H305" s="17" t="n">
        <v>600</v>
      </c>
      <c r="I305" s="17"/>
      <c r="J305" s="17" t="n">
        <v>5</v>
      </c>
      <c r="K305" s="17"/>
      <c r="L305" s="17"/>
      <c r="M305" s="17"/>
      <c r="N305" s="27" t="str">
        <f aca="false">IF(F305=_xlfn.MINIFS($F$2:$F$948,$A$2:$A$948,$A305,$B$2:$B$948,$B305),"BEST","")</f>
        <v/>
      </c>
    </row>
    <row r="306" customFormat="false" ht="15" hidden="false" customHeight="false" outlineLevel="0" collapsed="false">
      <c r="A306" s="16" t="s">
        <v>45</v>
      </c>
      <c r="B306" s="17" t="n">
        <v>12</v>
      </c>
      <c r="C306" s="17" t="s">
        <v>69</v>
      </c>
      <c r="D306" s="16" t="s">
        <v>68</v>
      </c>
      <c r="E306" s="17" t="n">
        <v>9</v>
      </c>
      <c r="F306" s="26" t="n">
        <v>0.014208809874533</v>
      </c>
      <c r="G306" s="17" t="n">
        <v>192</v>
      </c>
      <c r="H306" s="17" t="n">
        <v>600</v>
      </c>
      <c r="I306" s="17"/>
      <c r="J306" s="17" t="n">
        <v>5</v>
      </c>
      <c r="K306" s="17"/>
      <c r="L306" s="17"/>
      <c r="M306" s="17"/>
      <c r="N306" s="27" t="str">
        <f aca="false">IF(F306=_xlfn.MINIFS($F$2:$F$948,$A$2:$A$948,$A306,$B$2:$B$948,$B306),"BEST","")</f>
        <v/>
      </c>
    </row>
    <row r="307" customFormat="false" ht="15" hidden="false" customHeight="false" outlineLevel="0" collapsed="false">
      <c r="A307" s="16" t="s">
        <v>45</v>
      </c>
      <c r="B307" s="17" t="n">
        <v>12</v>
      </c>
      <c r="C307" s="17" t="s">
        <v>69</v>
      </c>
      <c r="D307" s="16" t="s">
        <v>68</v>
      </c>
      <c r="E307" s="17" t="n">
        <v>10</v>
      </c>
      <c r="F307" s="26" t="n">
        <v>0.0166284020833861</v>
      </c>
      <c r="G307" s="17" t="n">
        <v>192</v>
      </c>
      <c r="H307" s="17" t="n">
        <v>600</v>
      </c>
      <c r="I307" s="17"/>
      <c r="J307" s="17" t="n">
        <v>5</v>
      </c>
      <c r="K307" s="17"/>
      <c r="L307" s="17"/>
      <c r="M307" s="17"/>
      <c r="N307" s="27" t="str">
        <f aca="false">IF(F307=_xlfn.MINIFS($F$2:$F$948,$A$2:$A$948,$A307,$B$2:$B$948,$B307),"BEST","")</f>
        <v/>
      </c>
    </row>
    <row r="308" customFormat="false" ht="15" hidden="false" customHeight="false" outlineLevel="0" collapsed="false">
      <c r="A308" s="16" t="s">
        <v>45</v>
      </c>
      <c r="B308" s="17" t="n">
        <v>12</v>
      </c>
      <c r="C308" s="17" t="s">
        <v>69</v>
      </c>
      <c r="D308" s="16" t="s">
        <v>68</v>
      </c>
      <c r="E308" s="17" t="n">
        <v>11</v>
      </c>
      <c r="F308" s="26" t="n">
        <v>0.0147729270152945</v>
      </c>
      <c r="G308" s="17" t="n">
        <v>192</v>
      </c>
      <c r="H308" s="17" t="n">
        <v>600</v>
      </c>
      <c r="I308" s="17"/>
      <c r="J308" s="17" t="n">
        <v>5</v>
      </c>
      <c r="K308" s="17"/>
      <c r="L308" s="17"/>
      <c r="M308" s="17"/>
      <c r="N308" s="27" t="str">
        <f aca="false">IF(F308=_xlfn.MINIFS($F$2:$F$948,$A$2:$A$948,$A308,$B$2:$B$948,$B308),"BEST","")</f>
        <v/>
      </c>
    </row>
    <row r="309" customFormat="false" ht="15" hidden="false" customHeight="false" outlineLevel="0" collapsed="false">
      <c r="A309" s="16" t="s">
        <v>45</v>
      </c>
      <c r="B309" s="17" t="n">
        <v>12</v>
      </c>
      <c r="C309" s="17" t="s">
        <v>69</v>
      </c>
      <c r="D309" s="16" t="s">
        <v>68</v>
      </c>
      <c r="E309" s="17" t="n">
        <v>12</v>
      </c>
      <c r="F309" s="26" t="n">
        <v>0.0217109905976383</v>
      </c>
      <c r="G309" s="17" t="n">
        <v>192</v>
      </c>
      <c r="H309" s="17" t="n">
        <v>600</v>
      </c>
      <c r="I309" s="17"/>
      <c r="J309" s="17" t="n">
        <v>5</v>
      </c>
      <c r="K309" s="17"/>
      <c r="L309" s="17"/>
      <c r="M309" s="17"/>
      <c r="N309" s="27" t="str">
        <f aca="false">IF(F309=_xlfn.MINIFS($F$2:$F$948,$A$2:$A$948,$A309,$B$2:$B$948,$B309),"BEST","")</f>
        <v/>
      </c>
    </row>
    <row r="310" customFormat="false" ht="15" hidden="false" customHeight="false" outlineLevel="0" collapsed="false">
      <c r="A310" s="16" t="s">
        <v>45</v>
      </c>
      <c r="B310" s="17" t="n">
        <v>12</v>
      </c>
      <c r="C310" s="17" t="s">
        <v>69</v>
      </c>
      <c r="D310" s="16" t="s">
        <v>68</v>
      </c>
      <c r="E310" s="17" t="n">
        <v>13</v>
      </c>
      <c r="F310" s="26" t="n">
        <v>0.0203530638687768</v>
      </c>
      <c r="G310" s="17" t="n">
        <v>192</v>
      </c>
      <c r="H310" s="17" t="n">
        <v>600</v>
      </c>
      <c r="I310" s="17"/>
      <c r="J310" s="17" t="n">
        <v>5</v>
      </c>
      <c r="K310" s="17"/>
      <c r="L310" s="17"/>
      <c r="M310" s="17"/>
      <c r="N310" s="27" t="str">
        <f aca="false">IF(F310=_xlfn.MINIFS($F$2:$F$948,$A$2:$A$948,$A310,$B$2:$B$948,$B310),"BEST","")</f>
        <v/>
      </c>
    </row>
    <row r="311" customFormat="false" ht="15" hidden="false" customHeight="false" outlineLevel="0" collapsed="false">
      <c r="A311" s="16" t="s">
        <v>45</v>
      </c>
      <c r="B311" s="17" t="n">
        <v>12</v>
      </c>
      <c r="C311" s="17" t="s">
        <v>69</v>
      </c>
      <c r="D311" s="16" t="s">
        <v>68</v>
      </c>
      <c r="E311" s="17" t="n">
        <v>14</v>
      </c>
      <c r="F311" s="26" t="n">
        <v>0.0254231976070414</v>
      </c>
      <c r="G311" s="17" t="n">
        <v>192</v>
      </c>
      <c r="H311" s="17" t="n">
        <v>600</v>
      </c>
      <c r="I311" s="17"/>
      <c r="J311" s="17" t="n">
        <v>5</v>
      </c>
      <c r="K311" s="17"/>
      <c r="L311" s="17"/>
      <c r="M311" s="17"/>
      <c r="N311" s="27" t="str">
        <f aca="false">IF(F311=_xlfn.MINIFS($F$2:$F$948,$A$2:$A$948,$A311,$B$2:$B$948,$B311),"BEST","")</f>
        <v/>
      </c>
    </row>
    <row r="312" customFormat="false" ht="15" hidden="false" customHeight="false" outlineLevel="0" collapsed="false">
      <c r="A312" s="16" t="s">
        <v>45</v>
      </c>
      <c r="B312" s="17" t="n">
        <v>12</v>
      </c>
      <c r="C312" s="17" t="s">
        <v>69</v>
      </c>
      <c r="D312" s="16" t="s">
        <v>68</v>
      </c>
      <c r="E312" s="17" t="n">
        <v>15</v>
      </c>
      <c r="F312" s="26" t="n">
        <v>0.0187913755965061</v>
      </c>
      <c r="G312" s="17" t="n">
        <v>192</v>
      </c>
      <c r="H312" s="17" t="n">
        <v>600</v>
      </c>
      <c r="I312" s="17"/>
      <c r="J312" s="17" t="n">
        <v>5</v>
      </c>
      <c r="K312" s="17"/>
      <c r="L312" s="17"/>
      <c r="M312" s="17"/>
      <c r="N312" s="27" t="str">
        <f aca="false">IF(F312=_xlfn.MINIFS($F$2:$F$948,$A$2:$A$948,$A312,$B$2:$B$948,$B312),"BEST","")</f>
        <v/>
      </c>
    </row>
    <row r="313" customFormat="false" ht="15" hidden="false" customHeight="false" outlineLevel="0" collapsed="false">
      <c r="A313" s="16" t="s">
        <v>45</v>
      </c>
      <c r="B313" s="17" t="n">
        <v>12</v>
      </c>
      <c r="C313" s="17" t="s">
        <v>69</v>
      </c>
      <c r="D313" s="16" t="s">
        <v>68</v>
      </c>
      <c r="E313" s="17" t="n">
        <v>16</v>
      </c>
      <c r="F313" s="26" t="n">
        <v>0.0218463051750651</v>
      </c>
      <c r="G313" s="17" t="n">
        <v>192</v>
      </c>
      <c r="H313" s="17" t="n">
        <v>600</v>
      </c>
      <c r="I313" s="17"/>
      <c r="J313" s="17" t="n">
        <v>5</v>
      </c>
      <c r="K313" s="17"/>
      <c r="L313" s="17"/>
      <c r="M313" s="17"/>
      <c r="N313" s="27" t="str">
        <f aca="false">IF(F313=_xlfn.MINIFS($F$2:$F$948,$A$2:$A$948,$A313,$B$2:$B$948,$B313),"BEST","")</f>
        <v/>
      </c>
    </row>
    <row r="314" customFormat="false" ht="15" hidden="false" customHeight="false" outlineLevel="0" collapsed="false">
      <c r="A314" s="16" t="s">
        <v>45</v>
      </c>
      <c r="B314" s="17" t="n">
        <v>12</v>
      </c>
      <c r="C314" s="17" t="s">
        <v>69</v>
      </c>
      <c r="D314" s="16" t="s">
        <v>68</v>
      </c>
      <c r="E314" s="17" t="n">
        <v>17</v>
      </c>
      <c r="F314" s="26" t="n">
        <v>0.0205862199578285</v>
      </c>
      <c r="G314" s="17" t="n">
        <v>192</v>
      </c>
      <c r="H314" s="17" t="n">
        <v>600</v>
      </c>
      <c r="I314" s="17"/>
      <c r="J314" s="17" t="n">
        <v>5</v>
      </c>
      <c r="K314" s="17"/>
      <c r="L314" s="17"/>
      <c r="M314" s="17"/>
      <c r="N314" s="27" t="str">
        <f aca="false">IF(F314=_xlfn.MINIFS($F$2:$F$948,$A$2:$A$948,$A314,$B$2:$B$948,$B314),"BEST","")</f>
        <v/>
      </c>
    </row>
    <row r="315" customFormat="false" ht="15" hidden="false" customHeight="false" outlineLevel="0" collapsed="false">
      <c r="A315" s="16" t="s">
        <v>45</v>
      </c>
      <c r="B315" s="17" t="n">
        <v>12</v>
      </c>
      <c r="C315" s="17" t="s">
        <v>69</v>
      </c>
      <c r="D315" s="16" t="s">
        <v>68</v>
      </c>
      <c r="E315" s="17" t="n">
        <v>18</v>
      </c>
      <c r="F315" s="26" t="n">
        <v>0.0195361209198724</v>
      </c>
      <c r="G315" s="17" t="n">
        <v>192</v>
      </c>
      <c r="H315" s="17" t="n">
        <v>600</v>
      </c>
      <c r="I315" s="17"/>
      <c r="J315" s="17" t="n">
        <v>5</v>
      </c>
      <c r="K315" s="17"/>
      <c r="L315" s="17"/>
      <c r="M315" s="17"/>
      <c r="N315" s="27" t="str">
        <f aca="false">IF(F315=_xlfn.MINIFS($F$2:$F$948,$A$2:$A$948,$A315,$B$2:$B$948,$B315),"BEST","")</f>
        <v/>
      </c>
    </row>
    <row r="316" customFormat="false" ht="15" hidden="false" customHeight="false" outlineLevel="0" collapsed="false">
      <c r="A316" s="16" t="s">
        <v>45</v>
      </c>
      <c r="B316" s="17" t="n">
        <v>12</v>
      </c>
      <c r="C316" s="17" t="s">
        <v>69</v>
      </c>
      <c r="D316" s="16" t="s">
        <v>68</v>
      </c>
      <c r="E316" s="17" t="n">
        <v>19</v>
      </c>
      <c r="F316" s="26" t="n">
        <v>0.0168458662012337</v>
      </c>
      <c r="G316" s="17" t="n">
        <v>192</v>
      </c>
      <c r="H316" s="17" t="n">
        <v>600</v>
      </c>
      <c r="I316" s="17"/>
      <c r="J316" s="17" t="n">
        <v>5</v>
      </c>
      <c r="K316" s="17"/>
      <c r="L316" s="17"/>
      <c r="M316" s="17"/>
      <c r="N316" s="27" t="str">
        <f aca="false">IF(F316=_xlfn.MINIFS($F$2:$F$948,$A$2:$A$948,$A316,$B$2:$B$948,$B316),"BEST","")</f>
        <v/>
      </c>
    </row>
    <row r="317" customFormat="false" ht="15" hidden="false" customHeight="false" outlineLevel="0" collapsed="false">
      <c r="A317" s="16" t="s">
        <v>45</v>
      </c>
      <c r="B317" s="17" t="n">
        <v>12</v>
      </c>
      <c r="C317" s="17" t="s">
        <v>70</v>
      </c>
      <c r="D317" s="16" t="s">
        <v>68</v>
      </c>
      <c r="E317" s="17" t="n">
        <v>0</v>
      </c>
      <c r="F317" s="26" t="n">
        <v>5.65643636447956E-006</v>
      </c>
      <c r="G317" s="17" t="n">
        <v>21</v>
      </c>
      <c r="H317" s="17" t="n">
        <v>600</v>
      </c>
      <c r="I317" s="17"/>
      <c r="J317" s="17" t="n">
        <v>5</v>
      </c>
      <c r="K317" s="17"/>
      <c r="L317" s="17"/>
      <c r="M317" s="17" t="n">
        <v>2</v>
      </c>
      <c r="N317" s="27" t="str">
        <f aca="false">IF(F317=_xlfn.MINIFS($F$2:$F$948,$A$2:$A$948,$A317,$B$2:$B$948,$B317),"BEST","")</f>
        <v>BEST</v>
      </c>
    </row>
    <row r="318" customFormat="false" ht="15" hidden="false" customHeight="false" outlineLevel="0" collapsed="false">
      <c r="A318" s="16" t="s">
        <v>45</v>
      </c>
      <c r="B318" s="17" t="n">
        <v>12</v>
      </c>
      <c r="C318" s="17" t="s">
        <v>70</v>
      </c>
      <c r="D318" s="16" t="s">
        <v>68</v>
      </c>
      <c r="E318" s="17" t="n">
        <v>1</v>
      </c>
      <c r="F318" s="26" t="n">
        <v>5.65643636447956E-006</v>
      </c>
      <c r="G318" s="17" t="n">
        <v>21</v>
      </c>
      <c r="H318" s="17" t="n">
        <v>600</v>
      </c>
      <c r="I318" s="17"/>
      <c r="J318" s="17" t="n">
        <v>5</v>
      </c>
      <c r="K318" s="17"/>
      <c r="L318" s="17"/>
      <c r="M318" s="17" t="n">
        <v>2</v>
      </c>
      <c r="N318" s="27" t="str">
        <f aca="false">IF(F318=_xlfn.MINIFS($F$2:$F$948,$A$2:$A$948,$A318,$B$2:$B$948,$B318),"BEST","")</f>
        <v>BEST</v>
      </c>
    </row>
    <row r="319" customFormat="false" ht="15" hidden="false" customHeight="false" outlineLevel="0" collapsed="false">
      <c r="A319" s="16" t="s">
        <v>45</v>
      </c>
      <c r="B319" s="17" t="n">
        <v>12</v>
      </c>
      <c r="C319" s="17" t="s">
        <v>70</v>
      </c>
      <c r="D319" s="16" t="s">
        <v>68</v>
      </c>
      <c r="E319" s="17" t="n">
        <v>2</v>
      </c>
      <c r="F319" s="26" t="n">
        <v>5.65643636447956E-006</v>
      </c>
      <c r="G319" s="17" t="n">
        <v>21</v>
      </c>
      <c r="H319" s="17" t="n">
        <v>600</v>
      </c>
      <c r="I319" s="17"/>
      <c r="J319" s="17" t="n">
        <v>5</v>
      </c>
      <c r="K319" s="17"/>
      <c r="L319" s="17"/>
      <c r="M319" s="17" t="n">
        <v>2</v>
      </c>
      <c r="N319" s="27" t="str">
        <f aca="false">IF(F319=_xlfn.MINIFS($F$2:$F$948,$A$2:$A$948,$A319,$B$2:$B$948,$B319),"BEST","")</f>
        <v>BEST</v>
      </c>
    </row>
    <row r="320" customFormat="false" ht="15" hidden="false" customHeight="false" outlineLevel="0" collapsed="false">
      <c r="A320" s="16" t="s">
        <v>45</v>
      </c>
      <c r="B320" s="17" t="n">
        <v>12</v>
      </c>
      <c r="C320" s="17" t="s">
        <v>70</v>
      </c>
      <c r="D320" s="16" t="s">
        <v>68</v>
      </c>
      <c r="E320" s="17" t="n">
        <v>3</v>
      </c>
      <c r="F320" s="26" t="n">
        <v>5.65643636447956E-006</v>
      </c>
      <c r="G320" s="17" t="n">
        <v>21</v>
      </c>
      <c r="H320" s="17" t="n">
        <v>600</v>
      </c>
      <c r="I320" s="17"/>
      <c r="J320" s="17" t="n">
        <v>5</v>
      </c>
      <c r="K320" s="17"/>
      <c r="L320" s="17"/>
      <c r="M320" s="17" t="n">
        <v>2</v>
      </c>
      <c r="N320" s="27" t="str">
        <f aca="false">IF(F320=_xlfn.MINIFS($F$2:$F$948,$A$2:$A$948,$A320,$B$2:$B$948,$B320),"BEST","")</f>
        <v>BEST</v>
      </c>
    </row>
    <row r="321" customFormat="false" ht="15" hidden="false" customHeight="false" outlineLevel="0" collapsed="false">
      <c r="A321" s="16" t="s">
        <v>45</v>
      </c>
      <c r="B321" s="17" t="n">
        <v>12</v>
      </c>
      <c r="C321" s="17" t="s">
        <v>70</v>
      </c>
      <c r="D321" s="16" t="s">
        <v>68</v>
      </c>
      <c r="E321" s="17" t="n">
        <v>4</v>
      </c>
      <c r="F321" s="26" t="n">
        <v>5.65643636447956E-006</v>
      </c>
      <c r="G321" s="17" t="n">
        <v>21</v>
      </c>
      <c r="H321" s="17" t="n">
        <v>600</v>
      </c>
      <c r="I321" s="17"/>
      <c r="J321" s="17" t="n">
        <v>5</v>
      </c>
      <c r="K321" s="17"/>
      <c r="L321" s="17"/>
      <c r="M321" s="17" t="n">
        <v>2</v>
      </c>
      <c r="N321" s="27" t="str">
        <f aca="false">IF(F321=_xlfn.MINIFS($F$2:$F$948,$A$2:$A$948,$A321,$B$2:$B$948,$B321),"BEST","")</f>
        <v>BEST</v>
      </c>
    </row>
    <row r="322" customFormat="false" ht="15" hidden="false" customHeight="false" outlineLevel="0" collapsed="false">
      <c r="A322" s="16" t="s">
        <v>45</v>
      </c>
      <c r="B322" s="17" t="n">
        <v>12</v>
      </c>
      <c r="C322" s="17" t="s">
        <v>70</v>
      </c>
      <c r="D322" s="16" t="s">
        <v>68</v>
      </c>
      <c r="E322" s="17" t="n">
        <v>5</v>
      </c>
      <c r="F322" s="26" t="n">
        <v>5.65643636447956E-006</v>
      </c>
      <c r="G322" s="17" t="n">
        <v>21</v>
      </c>
      <c r="H322" s="17" t="n">
        <v>600</v>
      </c>
      <c r="I322" s="17"/>
      <c r="J322" s="17" t="n">
        <v>5</v>
      </c>
      <c r="K322" s="17"/>
      <c r="L322" s="17"/>
      <c r="M322" s="17" t="n">
        <v>2</v>
      </c>
      <c r="N322" s="27" t="str">
        <f aca="false">IF(F322=_xlfn.MINIFS($F$2:$F$948,$A$2:$A$948,$A322,$B$2:$B$948,$B322),"BEST","")</f>
        <v>BEST</v>
      </c>
    </row>
    <row r="323" customFormat="false" ht="15" hidden="false" customHeight="false" outlineLevel="0" collapsed="false">
      <c r="A323" s="16" t="s">
        <v>45</v>
      </c>
      <c r="B323" s="17" t="n">
        <v>12</v>
      </c>
      <c r="C323" s="17" t="s">
        <v>70</v>
      </c>
      <c r="D323" s="16" t="s">
        <v>68</v>
      </c>
      <c r="E323" s="17" t="n">
        <v>6</v>
      </c>
      <c r="F323" s="26" t="n">
        <v>5.65643636447956E-006</v>
      </c>
      <c r="G323" s="17" t="n">
        <v>21</v>
      </c>
      <c r="H323" s="17" t="n">
        <v>600</v>
      </c>
      <c r="I323" s="17"/>
      <c r="J323" s="17" t="n">
        <v>5</v>
      </c>
      <c r="K323" s="17"/>
      <c r="L323" s="17"/>
      <c r="M323" s="17" t="n">
        <v>2</v>
      </c>
      <c r="N323" s="27" t="str">
        <f aca="false">IF(F323=_xlfn.MINIFS($F$2:$F$948,$A$2:$A$948,$A323,$B$2:$B$948,$B323),"BEST","")</f>
        <v>BEST</v>
      </c>
    </row>
    <row r="324" customFormat="false" ht="15" hidden="false" customHeight="false" outlineLevel="0" collapsed="false">
      <c r="A324" s="16" t="s">
        <v>45</v>
      </c>
      <c r="B324" s="17" t="n">
        <v>12</v>
      </c>
      <c r="C324" s="17" t="s">
        <v>70</v>
      </c>
      <c r="D324" s="16" t="s">
        <v>68</v>
      </c>
      <c r="E324" s="17" t="n">
        <v>7</v>
      </c>
      <c r="F324" s="26" t="n">
        <v>5.65643636447956E-006</v>
      </c>
      <c r="G324" s="17" t="n">
        <v>21</v>
      </c>
      <c r="H324" s="17" t="n">
        <v>600</v>
      </c>
      <c r="I324" s="17"/>
      <c r="J324" s="17" t="n">
        <v>5</v>
      </c>
      <c r="K324" s="17"/>
      <c r="L324" s="17"/>
      <c r="M324" s="17" t="n">
        <v>2</v>
      </c>
      <c r="N324" s="27" t="str">
        <f aca="false">IF(F324=_xlfn.MINIFS($F$2:$F$948,$A$2:$A$948,$A324,$B$2:$B$948,$B324),"BEST","")</f>
        <v>BEST</v>
      </c>
    </row>
    <row r="325" customFormat="false" ht="15" hidden="false" customHeight="false" outlineLevel="0" collapsed="false">
      <c r="A325" s="16" t="s">
        <v>45</v>
      </c>
      <c r="B325" s="17" t="n">
        <v>12</v>
      </c>
      <c r="C325" s="17" t="s">
        <v>70</v>
      </c>
      <c r="D325" s="16" t="s">
        <v>68</v>
      </c>
      <c r="E325" s="17" t="n">
        <v>8</v>
      </c>
      <c r="F325" s="26" t="n">
        <v>5.65643636447956E-006</v>
      </c>
      <c r="G325" s="17" t="n">
        <v>21</v>
      </c>
      <c r="H325" s="17" t="n">
        <v>600</v>
      </c>
      <c r="I325" s="17"/>
      <c r="J325" s="17" t="n">
        <v>5</v>
      </c>
      <c r="K325" s="17"/>
      <c r="L325" s="17"/>
      <c r="M325" s="17" t="n">
        <v>2</v>
      </c>
      <c r="N325" s="27" t="str">
        <f aca="false">IF(F325=_xlfn.MINIFS($F$2:$F$948,$A$2:$A$948,$A325,$B$2:$B$948,$B325),"BEST","")</f>
        <v>BEST</v>
      </c>
    </row>
    <row r="326" customFormat="false" ht="15" hidden="false" customHeight="false" outlineLevel="0" collapsed="false">
      <c r="A326" s="16" t="s">
        <v>45</v>
      </c>
      <c r="B326" s="17" t="n">
        <v>12</v>
      </c>
      <c r="C326" s="17" t="s">
        <v>70</v>
      </c>
      <c r="D326" s="16" t="s">
        <v>68</v>
      </c>
      <c r="E326" s="17" t="n">
        <v>9</v>
      </c>
      <c r="F326" s="26" t="n">
        <v>5.65643636447956E-006</v>
      </c>
      <c r="G326" s="17" t="n">
        <v>21</v>
      </c>
      <c r="H326" s="17" t="n">
        <v>600</v>
      </c>
      <c r="I326" s="17"/>
      <c r="J326" s="17" t="n">
        <v>5</v>
      </c>
      <c r="K326" s="17"/>
      <c r="L326" s="17"/>
      <c r="M326" s="17" t="n">
        <v>2</v>
      </c>
      <c r="N326" s="27" t="str">
        <f aca="false">IF(F326=_xlfn.MINIFS($F$2:$F$948,$A$2:$A$948,$A326,$B$2:$B$948,$B326),"BEST","")</f>
        <v>BEST</v>
      </c>
    </row>
    <row r="327" customFormat="false" ht="15" hidden="false" customHeight="false" outlineLevel="0" collapsed="false">
      <c r="A327" s="16" t="s">
        <v>45</v>
      </c>
      <c r="B327" s="17" t="n">
        <v>12</v>
      </c>
      <c r="C327" s="17" t="s">
        <v>70</v>
      </c>
      <c r="D327" s="16" t="s">
        <v>68</v>
      </c>
      <c r="E327" s="17" t="n">
        <v>10</v>
      </c>
      <c r="F327" s="26" t="n">
        <v>5.65643636447956E-006</v>
      </c>
      <c r="G327" s="17" t="n">
        <v>21</v>
      </c>
      <c r="H327" s="17" t="n">
        <v>600</v>
      </c>
      <c r="I327" s="17"/>
      <c r="J327" s="17" t="n">
        <v>5</v>
      </c>
      <c r="K327" s="17"/>
      <c r="L327" s="17"/>
      <c r="M327" s="17" t="n">
        <v>2</v>
      </c>
      <c r="N327" s="27" t="str">
        <f aca="false">IF(F327=_xlfn.MINIFS($F$2:$F$948,$A$2:$A$948,$A327,$B$2:$B$948,$B327),"BEST","")</f>
        <v>BEST</v>
      </c>
    </row>
    <row r="328" customFormat="false" ht="15" hidden="false" customHeight="false" outlineLevel="0" collapsed="false">
      <c r="A328" s="16" t="s">
        <v>45</v>
      </c>
      <c r="B328" s="17" t="n">
        <v>12</v>
      </c>
      <c r="C328" s="17" t="s">
        <v>70</v>
      </c>
      <c r="D328" s="16" t="s">
        <v>68</v>
      </c>
      <c r="E328" s="17" t="n">
        <v>11</v>
      </c>
      <c r="F328" s="26" t="n">
        <v>5.65643636447956E-006</v>
      </c>
      <c r="G328" s="17" t="n">
        <v>21</v>
      </c>
      <c r="H328" s="17" t="n">
        <v>600</v>
      </c>
      <c r="I328" s="17"/>
      <c r="J328" s="17" t="n">
        <v>5</v>
      </c>
      <c r="K328" s="17"/>
      <c r="L328" s="17"/>
      <c r="M328" s="17" t="n">
        <v>2</v>
      </c>
      <c r="N328" s="27" t="str">
        <f aca="false">IF(F328=_xlfn.MINIFS($F$2:$F$948,$A$2:$A$948,$A328,$B$2:$B$948,$B328),"BEST","")</f>
        <v>BEST</v>
      </c>
    </row>
    <row r="329" customFormat="false" ht="15" hidden="false" customHeight="false" outlineLevel="0" collapsed="false">
      <c r="A329" s="16" t="s">
        <v>45</v>
      </c>
      <c r="B329" s="17" t="n">
        <v>12</v>
      </c>
      <c r="C329" s="17" t="s">
        <v>70</v>
      </c>
      <c r="D329" s="16" t="s">
        <v>68</v>
      </c>
      <c r="E329" s="17" t="n">
        <v>12</v>
      </c>
      <c r="F329" s="26" t="n">
        <v>5.65643636447956E-006</v>
      </c>
      <c r="G329" s="17" t="n">
        <v>21</v>
      </c>
      <c r="H329" s="17" t="n">
        <v>600</v>
      </c>
      <c r="I329" s="17"/>
      <c r="J329" s="17" t="n">
        <v>5</v>
      </c>
      <c r="K329" s="17"/>
      <c r="L329" s="17"/>
      <c r="M329" s="17" t="n">
        <v>2</v>
      </c>
      <c r="N329" s="27" t="str">
        <f aca="false">IF(F329=_xlfn.MINIFS($F$2:$F$948,$A$2:$A$948,$A329,$B$2:$B$948,$B329),"BEST","")</f>
        <v>BEST</v>
      </c>
    </row>
    <row r="330" customFormat="false" ht="15" hidden="false" customHeight="false" outlineLevel="0" collapsed="false">
      <c r="A330" s="16" t="s">
        <v>45</v>
      </c>
      <c r="B330" s="17" t="n">
        <v>12</v>
      </c>
      <c r="C330" s="17" t="s">
        <v>70</v>
      </c>
      <c r="D330" s="16" t="s">
        <v>68</v>
      </c>
      <c r="E330" s="17" t="n">
        <v>13</v>
      </c>
      <c r="F330" s="26" t="n">
        <v>5.65643636447956E-006</v>
      </c>
      <c r="G330" s="17" t="n">
        <v>21</v>
      </c>
      <c r="H330" s="17" t="n">
        <v>600</v>
      </c>
      <c r="I330" s="17"/>
      <c r="J330" s="17" t="n">
        <v>5</v>
      </c>
      <c r="K330" s="17"/>
      <c r="L330" s="17"/>
      <c r="M330" s="17" t="n">
        <v>2</v>
      </c>
      <c r="N330" s="27" t="str">
        <f aca="false">IF(F330=_xlfn.MINIFS($F$2:$F$948,$A$2:$A$948,$A330,$B$2:$B$948,$B330),"BEST","")</f>
        <v>BEST</v>
      </c>
    </row>
    <row r="331" customFormat="false" ht="15" hidden="false" customHeight="false" outlineLevel="0" collapsed="false">
      <c r="A331" s="16" t="s">
        <v>45</v>
      </c>
      <c r="B331" s="17" t="n">
        <v>12</v>
      </c>
      <c r="C331" s="17" t="s">
        <v>70</v>
      </c>
      <c r="D331" s="16" t="s">
        <v>68</v>
      </c>
      <c r="E331" s="17" t="n">
        <v>14</v>
      </c>
      <c r="F331" s="26" t="n">
        <v>5.65643636447956E-006</v>
      </c>
      <c r="G331" s="17" t="n">
        <v>21</v>
      </c>
      <c r="H331" s="17" t="n">
        <v>600</v>
      </c>
      <c r="I331" s="17"/>
      <c r="J331" s="17" t="n">
        <v>5</v>
      </c>
      <c r="K331" s="17"/>
      <c r="L331" s="17"/>
      <c r="M331" s="17" t="n">
        <v>2</v>
      </c>
      <c r="N331" s="27" t="str">
        <f aca="false">IF(F331=_xlfn.MINIFS($F$2:$F$948,$A$2:$A$948,$A331,$B$2:$B$948,$B331),"BEST","")</f>
        <v>BEST</v>
      </c>
    </row>
    <row r="332" customFormat="false" ht="15" hidden="false" customHeight="false" outlineLevel="0" collapsed="false">
      <c r="A332" s="16" t="s">
        <v>45</v>
      </c>
      <c r="B332" s="17" t="n">
        <v>12</v>
      </c>
      <c r="C332" s="17" t="s">
        <v>70</v>
      </c>
      <c r="D332" s="16" t="s">
        <v>68</v>
      </c>
      <c r="E332" s="17" t="n">
        <v>15</v>
      </c>
      <c r="F332" s="26" t="n">
        <v>5.65643636447956E-006</v>
      </c>
      <c r="G332" s="17" t="n">
        <v>21</v>
      </c>
      <c r="H332" s="17" t="n">
        <v>600</v>
      </c>
      <c r="I332" s="17"/>
      <c r="J332" s="17" t="n">
        <v>5</v>
      </c>
      <c r="K332" s="17"/>
      <c r="L332" s="17"/>
      <c r="M332" s="17" t="n">
        <v>2</v>
      </c>
      <c r="N332" s="27" t="str">
        <f aca="false">IF(F332=_xlfn.MINIFS($F$2:$F$948,$A$2:$A$948,$A332,$B$2:$B$948,$B332),"BEST","")</f>
        <v>BEST</v>
      </c>
    </row>
    <row r="333" customFormat="false" ht="15" hidden="false" customHeight="false" outlineLevel="0" collapsed="false">
      <c r="A333" s="16" t="s">
        <v>45</v>
      </c>
      <c r="B333" s="17" t="n">
        <v>12</v>
      </c>
      <c r="C333" s="17" t="s">
        <v>70</v>
      </c>
      <c r="D333" s="16" t="s">
        <v>68</v>
      </c>
      <c r="E333" s="17" t="n">
        <v>16</v>
      </c>
      <c r="F333" s="26" t="n">
        <v>5.65643636447956E-006</v>
      </c>
      <c r="G333" s="17" t="n">
        <v>21</v>
      </c>
      <c r="H333" s="17" t="n">
        <v>600</v>
      </c>
      <c r="I333" s="17"/>
      <c r="J333" s="17" t="n">
        <v>5</v>
      </c>
      <c r="K333" s="17"/>
      <c r="L333" s="17"/>
      <c r="M333" s="17" t="n">
        <v>2</v>
      </c>
      <c r="N333" s="27" t="str">
        <f aca="false">IF(F333=_xlfn.MINIFS($F$2:$F$948,$A$2:$A$948,$A333,$B$2:$B$948,$B333),"BEST","")</f>
        <v>BEST</v>
      </c>
    </row>
    <row r="334" customFormat="false" ht="15" hidden="false" customHeight="false" outlineLevel="0" collapsed="false">
      <c r="A334" s="16" t="s">
        <v>45</v>
      </c>
      <c r="B334" s="17" t="n">
        <v>12</v>
      </c>
      <c r="C334" s="17" t="s">
        <v>70</v>
      </c>
      <c r="D334" s="16" t="s">
        <v>68</v>
      </c>
      <c r="E334" s="17" t="n">
        <v>17</v>
      </c>
      <c r="F334" s="26" t="n">
        <v>5.65643636447956E-006</v>
      </c>
      <c r="G334" s="17" t="n">
        <v>21</v>
      </c>
      <c r="H334" s="17" t="n">
        <v>600</v>
      </c>
      <c r="I334" s="17"/>
      <c r="J334" s="17" t="n">
        <v>5</v>
      </c>
      <c r="K334" s="17"/>
      <c r="L334" s="17"/>
      <c r="M334" s="17" t="n">
        <v>2</v>
      </c>
      <c r="N334" s="27" t="str">
        <f aca="false">IF(F334=_xlfn.MINIFS($F$2:$F$948,$A$2:$A$948,$A334,$B$2:$B$948,$B334),"BEST","")</f>
        <v>BEST</v>
      </c>
    </row>
    <row r="335" customFormat="false" ht="15" hidden="false" customHeight="false" outlineLevel="0" collapsed="false">
      <c r="A335" s="16" t="s">
        <v>45</v>
      </c>
      <c r="B335" s="17" t="n">
        <v>12</v>
      </c>
      <c r="C335" s="17" t="s">
        <v>70</v>
      </c>
      <c r="D335" s="16" t="s">
        <v>68</v>
      </c>
      <c r="E335" s="17" t="n">
        <v>18</v>
      </c>
      <c r="F335" s="26" t="n">
        <v>5.65643636447956E-006</v>
      </c>
      <c r="G335" s="17" t="n">
        <v>21</v>
      </c>
      <c r="H335" s="17" t="n">
        <v>600</v>
      </c>
      <c r="I335" s="17"/>
      <c r="J335" s="17" t="n">
        <v>5</v>
      </c>
      <c r="K335" s="17"/>
      <c r="L335" s="17"/>
      <c r="M335" s="17" t="n">
        <v>2</v>
      </c>
      <c r="N335" s="27" t="str">
        <f aca="false">IF(F335=_xlfn.MINIFS($F$2:$F$948,$A$2:$A$948,$A335,$B$2:$B$948,$B335),"BEST","")</f>
        <v>BEST</v>
      </c>
    </row>
    <row r="336" customFormat="false" ht="15" hidden="false" customHeight="false" outlineLevel="0" collapsed="false">
      <c r="A336" s="16" t="s">
        <v>45</v>
      </c>
      <c r="B336" s="17" t="n">
        <v>12</v>
      </c>
      <c r="C336" s="17" t="s">
        <v>70</v>
      </c>
      <c r="D336" s="16" t="s">
        <v>68</v>
      </c>
      <c r="E336" s="17" t="n">
        <v>19</v>
      </c>
      <c r="F336" s="26" t="n">
        <v>5.65643636447956E-006</v>
      </c>
      <c r="G336" s="17" t="n">
        <v>21</v>
      </c>
      <c r="H336" s="17" t="n">
        <v>600</v>
      </c>
      <c r="I336" s="17"/>
      <c r="J336" s="17" t="n">
        <v>5</v>
      </c>
      <c r="K336" s="17"/>
      <c r="L336" s="17"/>
      <c r="M336" s="17" t="n">
        <v>2</v>
      </c>
      <c r="N336" s="27" t="str">
        <f aca="false">IF(F336=_xlfn.MINIFS($F$2:$F$948,$A$2:$A$948,$A336,$B$2:$B$948,$B336),"BEST","")</f>
        <v>BEST</v>
      </c>
    </row>
    <row r="337" customFormat="false" ht="15" hidden="false" customHeight="false" outlineLevel="0" collapsed="false">
      <c r="A337" s="22" t="s">
        <v>45</v>
      </c>
      <c r="B337" s="23" t="n">
        <v>12</v>
      </c>
      <c r="C337" s="23" t="s">
        <v>71</v>
      </c>
      <c r="D337" s="22" t="s">
        <v>72</v>
      </c>
      <c r="E337" s="23" t="n">
        <v>0</v>
      </c>
      <c r="F337" s="28" t="n">
        <v>0.00442041554832177</v>
      </c>
      <c r="G337" s="23" t="n">
        <v>192</v>
      </c>
      <c r="H337" s="23" t="n">
        <v>600</v>
      </c>
      <c r="I337" s="23" t="n">
        <v>4</v>
      </c>
      <c r="J337" s="23" t="n">
        <v>5</v>
      </c>
      <c r="K337" s="22" t="s">
        <v>73</v>
      </c>
      <c r="L337" s="22" t="s">
        <v>74</v>
      </c>
      <c r="M337" s="23"/>
      <c r="N337" s="27" t="str">
        <f aca="false">IF(F337=_xlfn.MINIFS($F$2:$F$948,$A$2:$A$948,$A337,$B$2:$B$948,$B337),"BEST","")</f>
        <v/>
      </c>
    </row>
    <row r="338" customFormat="false" ht="15" hidden="false" customHeight="false" outlineLevel="0" collapsed="false">
      <c r="A338" s="22" t="s">
        <v>45</v>
      </c>
      <c r="B338" s="23" t="n">
        <v>12</v>
      </c>
      <c r="C338" s="23" t="s">
        <v>71</v>
      </c>
      <c r="D338" s="22" t="s">
        <v>72</v>
      </c>
      <c r="E338" s="23" t="n">
        <v>1</v>
      </c>
      <c r="F338" s="28" t="n">
        <v>0.00483863965107266</v>
      </c>
      <c r="G338" s="23" t="n">
        <v>192</v>
      </c>
      <c r="H338" s="23" t="n">
        <v>600</v>
      </c>
      <c r="I338" s="23" t="n">
        <v>4</v>
      </c>
      <c r="J338" s="23" t="n">
        <v>5</v>
      </c>
      <c r="K338" s="22" t="s">
        <v>73</v>
      </c>
      <c r="L338" s="22" t="s">
        <v>74</v>
      </c>
      <c r="M338" s="23"/>
      <c r="N338" s="27" t="str">
        <f aca="false">IF(F338=_xlfn.MINIFS($F$2:$F$948,$A$2:$A$948,$A338,$B$2:$B$948,$B338),"BEST","")</f>
        <v/>
      </c>
    </row>
    <row r="339" customFormat="false" ht="15" hidden="false" customHeight="false" outlineLevel="0" collapsed="false">
      <c r="A339" s="16" t="s">
        <v>50</v>
      </c>
      <c r="B339" s="17" t="n">
        <v>4</v>
      </c>
      <c r="C339" s="17" t="s">
        <v>67</v>
      </c>
      <c r="D339" s="16" t="s">
        <v>68</v>
      </c>
      <c r="E339" s="17" t="n">
        <v>0</v>
      </c>
      <c r="F339" s="26" t="n">
        <v>0.00129689378376302</v>
      </c>
      <c r="G339" s="17" t="n">
        <v>64</v>
      </c>
      <c r="H339" s="17" t="n">
        <v>1500</v>
      </c>
      <c r="I339" s="17"/>
      <c r="J339" s="17" t="n">
        <v>5</v>
      </c>
      <c r="K339" s="17"/>
      <c r="L339" s="17"/>
      <c r="M339" s="17"/>
      <c r="N339" s="27" t="str">
        <f aca="false">IF(F339=_xlfn.MINIFS($F$2:$F$948,$A$2:$A$948,$A339,$B$2:$B$948,$B339),"BEST","")</f>
        <v>BEST</v>
      </c>
    </row>
    <row r="340" customFormat="false" ht="15" hidden="false" customHeight="false" outlineLevel="0" collapsed="false">
      <c r="A340" s="16" t="s">
        <v>50</v>
      </c>
      <c r="B340" s="17" t="n">
        <v>4</v>
      </c>
      <c r="C340" s="17" t="s">
        <v>67</v>
      </c>
      <c r="D340" s="16" t="s">
        <v>68</v>
      </c>
      <c r="E340" s="17" t="n">
        <v>1</v>
      </c>
      <c r="F340" s="26" t="n">
        <v>0.00290535532810141</v>
      </c>
      <c r="G340" s="17" t="n">
        <v>64</v>
      </c>
      <c r="H340" s="17" t="n">
        <v>1500</v>
      </c>
      <c r="I340" s="17"/>
      <c r="J340" s="17" t="n">
        <v>5</v>
      </c>
      <c r="K340" s="17"/>
      <c r="L340" s="17"/>
      <c r="M340" s="17"/>
      <c r="N340" s="27" t="str">
        <f aca="false">IF(F340=_xlfn.MINIFS($F$2:$F$948,$A$2:$A$948,$A340,$B$2:$B$948,$B340),"BEST","")</f>
        <v/>
      </c>
    </row>
    <row r="341" customFormat="false" ht="15" hidden="false" customHeight="false" outlineLevel="0" collapsed="false">
      <c r="A341" s="16" t="s">
        <v>50</v>
      </c>
      <c r="B341" s="17" t="n">
        <v>4</v>
      </c>
      <c r="C341" s="17" t="s">
        <v>67</v>
      </c>
      <c r="D341" s="16" t="s">
        <v>68</v>
      </c>
      <c r="E341" s="17" t="n">
        <v>2</v>
      </c>
      <c r="F341" s="26" t="n">
        <v>0.00251215129160829</v>
      </c>
      <c r="G341" s="17" t="n">
        <v>64</v>
      </c>
      <c r="H341" s="17" t="n">
        <v>1500</v>
      </c>
      <c r="I341" s="17"/>
      <c r="J341" s="17" t="n">
        <v>5</v>
      </c>
      <c r="K341" s="17"/>
      <c r="L341" s="17"/>
      <c r="M341" s="17"/>
      <c r="N341" s="27" t="str">
        <f aca="false">IF(F341=_xlfn.MINIFS($F$2:$F$948,$A$2:$A$948,$A341,$B$2:$B$948,$B341),"BEST","")</f>
        <v/>
      </c>
    </row>
    <row r="342" customFormat="false" ht="15" hidden="false" customHeight="false" outlineLevel="0" collapsed="false">
      <c r="A342" s="16" t="s">
        <v>50</v>
      </c>
      <c r="B342" s="17" t="n">
        <v>4</v>
      </c>
      <c r="C342" s="17" t="s">
        <v>67</v>
      </c>
      <c r="D342" s="16" t="s">
        <v>68</v>
      </c>
      <c r="E342" s="17" t="n">
        <v>3</v>
      </c>
      <c r="F342" s="26" t="n">
        <v>0.002322569240755</v>
      </c>
      <c r="G342" s="17" t="n">
        <v>64</v>
      </c>
      <c r="H342" s="17" t="n">
        <v>1500</v>
      </c>
      <c r="I342" s="17"/>
      <c r="J342" s="17" t="n">
        <v>5</v>
      </c>
      <c r="K342" s="17"/>
      <c r="L342" s="17"/>
      <c r="M342" s="17"/>
      <c r="N342" s="27" t="str">
        <f aca="false">IF(F342=_xlfn.MINIFS($F$2:$F$948,$A$2:$A$948,$A342,$B$2:$B$948,$B342),"BEST","")</f>
        <v/>
      </c>
    </row>
    <row r="343" customFormat="false" ht="15" hidden="false" customHeight="false" outlineLevel="0" collapsed="false">
      <c r="A343" s="16" t="s">
        <v>50</v>
      </c>
      <c r="B343" s="17" t="n">
        <v>4</v>
      </c>
      <c r="C343" s="17" t="s">
        <v>67</v>
      </c>
      <c r="D343" s="16" t="s">
        <v>68</v>
      </c>
      <c r="E343" s="17" t="n">
        <v>4</v>
      </c>
      <c r="F343" s="26" t="n">
        <v>0.00225800430775308</v>
      </c>
      <c r="G343" s="17" t="n">
        <v>64</v>
      </c>
      <c r="H343" s="17" t="n">
        <v>1500</v>
      </c>
      <c r="I343" s="17"/>
      <c r="J343" s="17" t="n">
        <v>5</v>
      </c>
      <c r="K343" s="17"/>
      <c r="L343" s="17"/>
      <c r="M343" s="17"/>
      <c r="N343" s="27" t="str">
        <f aca="false">IF(F343=_xlfn.MINIFS($F$2:$F$948,$A$2:$A$948,$A343,$B$2:$B$948,$B343),"BEST","")</f>
        <v/>
      </c>
    </row>
    <row r="344" customFormat="false" ht="15" hidden="false" customHeight="false" outlineLevel="0" collapsed="false">
      <c r="A344" s="16" t="s">
        <v>50</v>
      </c>
      <c r="B344" s="17" t="n">
        <v>4</v>
      </c>
      <c r="C344" s="17" t="s">
        <v>67</v>
      </c>
      <c r="D344" s="16" t="s">
        <v>68</v>
      </c>
      <c r="E344" s="17" t="n">
        <v>5</v>
      </c>
      <c r="F344" s="26" t="n">
        <v>0.00167812128788009</v>
      </c>
      <c r="G344" s="17" t="n">
        <v>64</v>
      </c>
      <c r="H344" s="17" t="n">
        <v>1500</v>
      </c>
      <c r="I344" s="17"/>
      <c r="J344" s="17" t="n">
        <v>5</v>
      </c>
      <c r="K344" s="17"/>
      <c r="L344" s="17"/>
      <c r="M344" s="17"/>
      <c r="N344" s="27" t="str">
        <f aca="false">IF(F344=_xlfn.MINIFS($F$2:$F$948,$A$2:$A$948,$A344,$B$2:$B$948,$B344),"BEST","")</f>
        <v/>
      </c>
    </row>
    <row r="345" customFormat="false" ht="15" hidden="false" customHeight="false" outlineLevel="0" collapsed="false">
      <c r="A345" s="16" t="s">
        <v>50</v>
      </c>
      <c r="B345" s="17" t="n">
        <v>4</v>
      </c>
      <c r="C345" s="17" t="s">
        <v>67</v>
      </c>
      <c r="D345" s="16" t="s">
        <v>68</v>
      </c>
      <c r="E345" s="17" t="n">
        <v>6</v>
      </c>
      <c r="F345" s="26" t="n">
        <v>0.00192051135106727</v>
      </c>
      <c r="G345" s="17" t="n">
        <v>64</v>
      </c>
      <c r="H345" s="17" t="n">
        <v>1500</v>
      </c>
      <c r="I345" s="17"/>
      <c r="J345" s="17" t="n">
        <v>5</v>
      </c>
      <c r="K345" s="17"/>
      <c r="L345" s="17"/>
      <c r="M345" s="17"/>
      <c r="N345" s="27" t="str">
        <f aca="false">IF(F345=_xlfn.MINIFS($F$2:$F$948,$A$2:$A$948,$A345,$B$2:$B$948,$B345),"BEST","")</f>
        <v/>
      </c>
    </row>
    <row r="346" customFormat="false" ht="15" hidden="false" customHeight="false" outlineLevel="0" collapsed="false">
      <c r="A346" s="16" t="s">
        <v>50</v>
      </c>
      <c r="B346" s="17" t="n">
        <v>4</v>
      </c>
      <c r="C346" s="17" t="s">
        <v>67</v>
      </c>
      <c r="D346" s="16" t="s">
        <v>68</v>
      </c>
      <c r="E346" s="17" t="n">
        <v>7</v>
      </c>
      <c r="F346" s="26" t="n">
        <v>0.0020665082133713</v>
      </c>
      <c r="G346" s="17" t="n">
        <v>64</v>
      </c>
      <c r="H346" s="17" t="n">
        <v>1500</v>
      </c>
      <c r="I346" s="17"/>
      <c r="J346" s="17" t="n">
        <v>5</v>
      </c>
      <c r="K346" s="17"/>
      <c r="L346" s="17"/>
      <c r="M346" s="17"/>
      <c r="N346" s="27" t="str">
        <f aca="false">IF(F346=_xlfn.MINIFS($F$2:$F$948,$A$2:$A$948,$A346,$B$2:$B$948,$B346),"BEST","")</f>
        <v/>
      </c>
    </row>
    <row r="347" customFormat="false" ht="15" hidden="false" customHeight="false" outlineLevel="0" collapsed="false">
      <c r="A347" s="16" t="s">
        <v>50</v>
      </c>
      <c r="B347" s="17" t="n">
        <v>4</v>
      </c>
      <c r="C347" s="17" t="s">
        <v>67</v>
      </c>
      <c r="D347" s="16" t="s">
        <v>68</v>
      </c>
      <c r="E347" s="17" t="n">
        <v>8</v>
      </c>
      <c r="F347" s="26" t="n">
        <v>0.00150203948432336</v>
      </c>
      <c r="G347" s="17" t="n">
        <v>64</v>
      </c>
      <c r="H347" s="17" t="n">
        <v>1500</v>
      </c>
      <c r="I347" s="17"/>
      <c r="J347" s="17" t="n">
        <v>5</v>
      </c>
      <c r="K347" s="17"/>
      <c r="L347" s="17"/>
      <c r="M347" s="17"/>
      <c r="N347" s="27" t="str">
        <f aca="false">IF(F347=_xlfn.MINIFS($F$2:$F$948,$A$2:$A$948,$A347,$B$2:$B$948,$B347),"BEST","")</f>
        <v/>
      </c>
    </row>
    <row r="348" customFormat="false" ht="15" hidden="false" customHeight="false" outlineLevel="0" collapsed="false">
      <c r="A348" s="16" t="s">
        <v>50</v>
      </c>
      <c r="B348" s="17" t="n">
        <v>4</v>
      </c>
      <c r="C348" s="17" t="s">
        <v>67</v>
      </c>
      <c r="D348" s="16" t="s">
        <v>68</v>
      </c>
      <c r="E348" s="17" t="n">
        <v>9</v>
      </c>
      <c r="F348" s="26" t="n">
        <v>0.00197538413320528</v>
      </c>
      <c r="G348" s="17" t="n">
        <v>64</v>
      </c>
      <c r="H348" s="17" t="n">
        <v>1500</v>
      </c>
      <c r="I348" s="17"/>
      <c r="J348" s="17" t="n">
        <v>5</v>
      </c>
      <c r="K348" s="17"/>
      <c r="L348" s="17"/>
      <c r="M348" s="17"/>
      <c r="N348" s="27" t="str">
        <f aca="false">IF(F348=_xlfn.MINIFS($F$2:$F$948,$A$2:$A$948,$A348,$B$2:$B$948,$B348),"BEST","")</f>
        <v/>
      </c>
    </row>
    <row r="349" customFormat="false" ht="15" hidden="false" customHeight="false" outlineLevel="0" collapsed="false">
      <c r="A349" s="16" t="s">
        <v>50</v>
      </c>
      <c r="B349" s="17" t="n">
        <v>4</v>
      </c>
      <c r="C349" s="17" t="s">
        <v>67</v>
      </c>
      <c r="D349" s="16" t="s">
        <v>68</v>
      </c>
      <c r="E349" s="17" t="n">
        <v>10</v>
      </c>
      <c r="F349" s="26" t="n">
        <v>0.0014332427903458</v>
      </c>
      <c r="G349" s="17" t="n">
        <v>64</v>
      </c>
      <c r="H349" s="17" t="n">
        <v>1500</v>
      </c>
      <c r="I349" s="17"/>
      <c r="J349" s="17" t="n">
        <v>5</v>
      </c>
      <c r="K349" s="17"/>
      <c r="L349" s="17"/>
      <c r="M349" s="17"/>
      <c r="N349" s="27" t="str">
        <f aca="false">IF(F349=_xlfn.MINIFS($F$2:$F$948,$A$2:$A$948,$A349,$B$2:$B$948,$B349),"BEST","")</f>
        <v/>
      </c>
    </row>
    <row r="350" customFormat="false" ht="15" hidden="false" customHeight="false" outlineLevel="0" collapsed="false">
      <c r="A350" s="16" t="s">
        <v>50</v>
      </c>
      <c r="B350" s="17" t="n">
        <v>4</v>
      </c>
      <c r="C350" s="17" t="s">
        <v>67</v>
      </c>
      <c r="D350" s="16" t="s">
        <v>68</v>
      </c>
      <c r="E350" s="17" t="n">
        <v>11</v>
      </c>
      <c r="F350" s="26" t="n">
        <v>0.0019849268005083</v>
      </c>
      <c r="G350" s="17" t="n">
        <v>64</v>
      </c>
      <c r="H350" s="17" t="n">
        <v>1500</v>
      </c>
      <c r="I350" s="17"/>
      <c r="J350" s="17" t="n">
        <v>5</v>
      </c>
      <c r="K350" s="17"/>
      <c r="L350" s="17"/>
      <c r="M350" s="17"/>
      <c r="N350" s="27" t="str">
        <f aca="false">IF(F350=_xlfn.MINIFS($F$2:$F$948,$A$2:$A$948,$A350,$B$2:$B$948,$B350),"BEST","")</f>
        <v/>
      </c>
    </row>
    <row r="351" customFormat="false" ht="15" hidden="false" customHeight="false" outlineLevel="0" collapsed="false">
      <c r="A351" s="16" t="s">
        <v>50</v>
      </c>
      <c r="B351" s="17" t="n">
        <v>4</v>
      </c>
      <c r="C351" s="17" t="s">
        <v>67</v>
      </c>
      <c r="D351" s="16" t="s">
        <v>68</v>
      </c>
      <c r="E351" s="17" t="n">
        <v>12</v>
      </c>
      <c r="F351" s="26" t="n">
        <v>0.00142468451415961</v>
      </c>
      <c r="G351" s="17" t="n">
        <v>64</v>
      </c>
      <c r="H351" s="17" t="n">
        <v>1500</v>
      </c>
      <c r="I351" s="17"/>
      <c r="J351" s="17" t="n">
        <v>5</v>
      </c>
      <c r="K351" s="17"/>
      <c r="L351" s="17"/>
      <c r="M351" s="17"/>
      <c r="N351" s="27" t="str">
        <f aca="false">IF(F351=_xlfn.MINIFS($F$2:$F$948,$A$2:$A$948,$A351,$B$2:$B$948,$B351),"BEST","")</f>
        <v/>
      </c>
    </row>
    <row r="352" customFormat="false" ht="15" hidden="false" customHeight="false" outlineLevel="0" collapsed="false">
      <c r="A352" s="16" t="s">
        <v>50</v>
      </c>
      <c r="B352" s="17" t="n">
        <v>4</v>
      </c>
      <c r="C352" s="17" t="s">
        <v>67</v>
      </c>
      <c r="D352" s="16" t="s">
        <v>68</v>
      </c>
      <c r="E352" s="17" t="n">
        <v>13</v>
      </c>
      <c r="F352" s="26" t="n">
        <v>0.00243863476334232</v>
      </c>
      <c r="G352" s="17" t="n">
        <v>64</v>
      </c>
      <c r="H352" s="17" t="n">
        <v>1500</v>
      </c>
      <c r="I352" s="17"/>
      <c r="J352" s="17" t="n">
        <v>5</v>
      </c>
      <c r="K352" s="17"/>
      <c r="L352" s="17"/>
      <c r="M352" s="17"/>
      <c r="N352" s="27" t="str">
        <f aca="false">IF(F352=_xlfn.MINIFS($F$2:$F$948,$A$2:$A$948,$A352,$B$2:$B$948,$B352),"BEST","")</f>
        <v/>
      </c>
    </row>
    <row r="353" customFormat="false" ht="15" hidden="false" customHeight="false" outlineLevel="0" collapsed="false">
      <c r="A353" s="16" t="s">
        <v>50</v>
      </c>
      <c r="B353" s="17" t="n">
        <v>4</v>
      </c>
      <c r="C353" s="17" t="s">
        <v>67</v>
      </c>
      <c r="D353" s="16" t="s">
        <v>68</v>
      </c>
      <c r="E353" s="17" t="n">
        <v>14</v>
      </c>
      <c r="F353" s="26" t="n">
        <v>0.0026538672028291</v>
      </c>
      <c r="G353" s="17" t="n">
        <v>64</v>
      </c>
      <c r="H353" s="17" t="n">
        <v>1500</v>
      </c>
      <c r="I353" s="17"/>
      <c r="J353" s="17" t="n">
        <v>5</v>
      </c>
      <c r="K353" s="17"/>
      <c r="L353" s="17"/>
      <c r="M353" s="17"/>
      <c r="N353" s="27" t="str">
        <f aca="false">IF(F353=_xlfn.MINIFS($F$2:$F$948,$A$2:$A$948,$A353,$B$2:$B$948,$B353),"BEST","")</f>
        <v/>
      </c>
    </row>
    <row r="354" customFormat="false" ht="15" hidden="false" customHeight="false" outlineLevel="0" collapsed="false">
      <c r="A354" s="16" t="s">
        <v>50</v>
      </c>
      <c r="B354" s="17" t="n">
        <v>4</v>
      </c>
      <c r="C354" s="17" t="s">
        <v>67</v>
      </c>
      <c r="D354" s="16" t="s">
        <v>68</v>
      </c>
      <c r="E354" s="17" t="n">
        <v>15</v>
      </c>
      <c r="F354" s="26" t="n">
        <v>0.00169748620441368</v>
      </c>
      <c r="G354" s="17" t="n">
        <v>64</v>
      </c>
      <c r="H354" s="17" t="n">
        <v>1500</v>
      </c>
      <c r="I354" s="17"/>
      <c r="J354" s="17" t="n">
        <v>5</v>
      </c>
      <c r="K354" s="17"/>
      <c r="L354" s="17"/>
      <c r="M354" s="17"/>
      <c r="N354" s="27" t="str">
        <f aca="false">IF(F354=_xlfn.MINIFS($F$2:$F$948,$A$2:$A$948,$A354,$B$2:$B$948,$B354),"BEST","")</f>
        <v/>
      </c>
    </row>
    <row r="355" customFormat="false" ht="15" hidden="false" customHeight="false" outlineLevel="0" collapsed="false">
      <c r="A355" s="16" t="s">
        <v>50</v>
      </c>
      <c r="B355" s="17" t="n">
        <v>4</v>
      </c>
      <c r="C355" s="17" t="s">
        <v>67</v>
      </c>
      <c r="D355" s="16" t="s">
        <v>68</v>
      </c>
      <c r="E355" s="17" t="n">
        <v>16</v>
      </c>
      <c r="F355" s="26" t="n">
        <v>0.00189934833026349</v>
      </c>
      <c r="G355" s="17" t="n">
        <v>64</v>
      </c>
      <c r="H355" s="17" t="n">
        <v>1500</v>
      </c>
      <c r="I355" s="17"/>
      <c r="J355" s="17" t="n">
        <v>5</v>
      </c>
      <c r="K355" s="17"/>
      <c r="L355" s="17"/>
      <c r="M355" s="17"/>
      <c r="N355" s="27" t="str">
        <f aca="false">IF(F355=_xlfn.MINIFS($F$2:$F$948,$A$2:$A$948,$A355,$B$2:$B$948,$B355),"BEST","")</f>
        <v/>
      </c>
    </row>
    <row r="356" customFormat="false" ht="15" hidden="false" customHeight="false" outlineLevel="0" collapsed="false">
      <c r="A356" s="16" t="s">
        <v>50</v>
      </c>
      <c r="B356" s="17" t="n">
        <v>4</v>
      </c>
      <c r="C356" s="17" t="s">
        <v>67</v>
      </c>
      <c r="D356" s="16" t="s">
        <v>68</v>
      </c>
      <c r="E356" s="17" t="n">
        <v>17</v>
      </c>
      <c r="F356" s="26" t="n">
        <v>0.00237191028668244</v>
      </c>
      <c r="G356" s="17" t="n">
        <v>64</v>
      </c>
      <c r="H356" s="17" t="n">
        <v>1500</v>
      </c>
      <c r="I356" s="17"/>
      <c r="J356" s="17" t="n">
        <v>5</v>
      </c>
      <c r="K356" s="17"/>
      <c r="L356" s="17"/>
      <c r="M356" s="17"/>
      <c r="N356" s="27" t="str">
        <f aca="false">IF(F356=_xlfn.MINIFS($F$2:$F$948,$A$2:$A$948,$A356,$B$2:$B$948,$B356),"BEST","")</f>
        <v/>
      </c>
    </row>
    <row r="357" customFormat="false" ht="15" hidden="false" customHeight="false" outlineLevel="0" collapsed="false">
      <c r="A357" s="16" t="s">
        <v>50</v>
      </c>
      <c r="B357" s="17" t="n">
        <v>4</v>
      </c>
      <c r="C357" s="17" t="s">
        <v>67</v>
      </c>
      <c r="D357" s="16" t="s">
        <v>68</v>
      </c>
      <c r="E357" s="17" t="n">
        <v>18</v>
      </c>
      <c r="F357" s="26" t="n">
        <v>0.00163544666105824</v>
      </c>
      <c r="G357" s="17" t="n">
        <v>64</v>
      </c>
      <c r="H357" s="17" t="n">
        <v>1500</v>
      </c>
      <c r="I357" s="17"/>
      <c r="J357" s="17" t="n">
        <v>5</v>
      </c>
      <c r="K357" s="17"/>
      <c r="L357" s="17"/>
      <c r="M357" s="17"/>
      <c r="N357" s="27" t="str">
        <f aca="false">IF(F357=_xlfn.MINIFS($F$2:$F$948,$A$2:$A$948,$A357,$B$2:$B$948,$B357),"BEST","")</f>
        <v/>
      </c>
    </row>
    <row r="358" customFormat="false" ht="15" hidden="false" customHeight="false" outlineLevel="0" collapsed="false">
      <c r="A358" s="16" t="s">
        <v>50</v>
      </c>
      <c r="B358" s="17" t="n">
        <v>4</v>
      </c>
      <c r="C358" s="17" t="s">
        <v>67</v>
      </c>
      <c r="D358" s="16" t="s">
        <v>68</v>
      </c>
      <c r="E358" s="17" t="n">
        <v>19</v>
      </c>
      <c r="F358" s="26" t="n">
        <v>0.00215909333185063</v>
      </c>
      <c r="G358" s="17" t="n">
        <v>64</v>
      </c>
      <c r="H358" s="17" t="n">
        <v>1500</v>
      </c>
      <c r="I358" s="17"/>
      <c r="J358" s="17" t="n">
        <v>5</v>
      </c>
      <c r="K358" s="17"/>
      <c r="L358" s="17"/>
      <c r="M358" s="17"/>
      <c r="N358" s="27" t="str">
        <f aca="false">IF(F358=_xlfn.MINIFS($F$2:$F$948,$A$2:$A$948,$A358,$B$2:$B$948,$B358),"BEST","")</f>
        <v/>
      </c>
    </row>
    <row r="359" customFormat="false" ht="15" hidden="false" customHeight="false" outlineLevel="0" collapsed="false">
      <c r="A359" s="16" t="s">
        <v>50</v>
      </c>
      <c r="B359" s="17" t="n">
        <v>4</v>
      </c>
      <c r="C359" s="17" t="s">
        <v>69</v>
      </c>
      <c r="D359" s="16" t="s">
        <v>68</v>
      </c>
      <c r="E359" s="17" t="n">
        <v>0</v>
      </c>
      <c r="F359" s="26" t="n">
        <v>0.100609876540061</v>
      </c>
      <c r="G359" s="17" t="n">
        <v>64</v>
      </c>
      <c r="H359" s="17" t="n">
        <v>1500</v>
      </c>
      <c r="I359" s="17"/>
      <c r="J359" s="17" t="n">
        <v>5</v>
      </c>
      <c r="K359" s="17"/>
      <c r="L359" s="17"/>
      <c r="M359" s="17"/>
      <c r="N359" s="27" t="str">
        <f aca="false">IF(F359=_xlfn.MINIFS($F$2:$F$948,$A$2:$A$948,$A359,$B$2:$B$948,$B359),"BEST","")</f>
        <v/>
      </c>
    </row>
    <row r="360" customFormat="false" ht="15" hidden="false" customHeight="false" outlineLevel="0" collapsed="false">
      <c r="A360" s="16" t="s">
        <v>50</v>
      </c>
      <c r="B360" s="17" t="n">
        <v>4</v>
      </c>
      <c r="C360" s="17" t="s">
        <v>69</v>
      </c>
      <c r="D360" s="16" t="s">
        <v>68</v>
      </c>
      <c r="E360" s="17" t="n">
        <v>1</v>
      </c>
      <c r="F360" s="26" t="n">
        <v>0.111400026855132</v>
      </c>
      <c r="G360" s="17" t="n">
        <v>64</v>
      </c>
      <c r="H360" s="17" t="n">
        <v>1500</v>
      </c>
      <c r="I360" s="17"/>
      <c r="J360" s="17" t="n">
        <v>5</v>
      </c>
      <c r="K360" s="17"/>
      <c r="L360" s="17"/>
      <c r="M360" s="17"/>
      <c r="N360" s="27" t="str">
        <f aca="false">IF(F360=_xlfn.MINIFS($F$2:$F$948,$A$2:$A$948,$A360,$B$2:$B$948,$B360),"BEST","")</f>
        <v/>
      </c>
    </row>
    <row r="361" customFormat="false" ht="15" hidden="false" customHeight="false" outlineLevel="0" collapsed="false">
      <c r="A361" s="16" t="s">
        <v>50</v>
      </c>
      <c r="B361" s="17" t="n">
        <v>4</v>
      </c>
      <c r="C361" s="17" t="s">
        <v>69</v>
      </c>
      <c r="D361" s="16" t="s">
        <v>68</v>
      </c>
      <c r="E361" s="17" t="n">
        <v>2</v>
      </c>
      <c r="F361" s="26" t="n">
        <v>0.0937539399624217</v>
      </c>
      <c r="G361" s="17" t="n">
        <v>64</v>
      </c>
      <c r="H361" s="17" t="n">
        <v>1500</v>
      </c>
      <c r="I361" s="17"/>
      <c r="J361" s="17" t="n">
        <v>5</v>
      </c>
      <c r="K361" s="17"/>
      <c r="L361" s="17"/>
      <c r="M361" s="17"/>
      <c r="N361" s="27" t="str">
        <f aca="false">IF(F361=_xlfn.MINIFS($F$2:$F$948,$A$2:$A$948,$A361,$B$2:$B$948,$B361),"BEST","")</f>
        <v/>
      </c>
    </row>
    <row r="362" customFormat="false" ht="15" hidden="false" customHeight="false" outlineLevel="0" collapsed="false">
      <c r="A362" s="16" t="s">
        <v>50</v>
      </c>
      <c r="B362" s="17" t="n">
        <v>4</v>
      </c>
      <c r="C362" s="17" t="s">
        <v>69</v>
      </c>
      <c r="D362" s="16" t="s">
        <v>68</v>
      </c>
      <c r="E362" s="17" t="n">
        <v>3</v>
      </c>
      <c r="F362" s="26" t="n">
        <v>0.125221196691402</v>
      </c>
      <c r="G362" s="17" t="n">
        <v>64</v>
      </c>
      <c r="H362" s="17" t="n">
        <v>1500</v>
      </c>
      <c r="I362" s="17"/>
      <c r="J362" s="17" t="n">
        <v>5</v>
      </c>
      <c r="K362" s="17"/>
      <c r="L362" s="17"/>
      <c r="M362" s="17"/>
      <c r="N362" s="27" t="str">
        <f aca="false">IF(F362=_xlfn.MINIFS($F$2:$F$948,$A$2:$A$948,$A362,$B$2:$B$948,$B362),"BEST","")</f>
        <v/>
      </c>
    </row>
    <row r="363" customFormat="false" ht="15" hidden="false" customHeight="false" outlineLevel="0" collapsed="false">
      <c r="A363" s="16" t="s">
        <v>50</v>
      </c>
      <c r="B363" s="17" t="n">
        <v>4</v>
      </c>
      <c r="C363" s="17" t="s">
        <v>69</v>
      </c>
      <c r="D363" s="16" t="s">
        <v>68</v>
      </c>
      <c r="E363" s="17" t="n">
        <v>4</v>
      </c>
      <c r="F363" s="26" t="n">
        <v>0.126580873953223</v>
      </c>
      <c r="G363" s="17" t="n">
        <v>64</v>
      </c>
      <c r="H363" s="17" t="n">
        <v>1500</v>
      </c>
      <c r="I363" s="17"/>
      <c r="J363" s="17" t="n">
        <v>5</v>
      </c>
      <c r="K363" s="17"/>
      <c r="L363" s="17"/>
      <c r="M363" s="17"/>
      <c r="N363" s="27" t="str">
        <f aca="false">IF(F363=_xlfn.MINIFS($F$2:$F$948,$A$2:$A$948,$A363,$B$2:$B$948,$B363),"BEST","")</f>
        <v/>
      </c>
    </row>
    <row r="364" customFormat="false" ht="15" hidden="false" customHeight="false" outlineLevel="0" collapsed="false">
      <c r="A364" s="16" t="s">
        <v>50</v>
      </c>
      <c r="B364" s="17" t="n">
        <v>4</v>
      </c>
      <c r="C364" s="17" t="s">
        <v>69</v>
      </c>
      <c r="D364" s="16" t="s">
        <v>68</v>
      </c>
      <c r="E364" s="17" t="n">
        <v>5</v>
      </c>
      <c r="F364" s="26" t="n">
        <v>0.0870199557094094</v>
      </c>
      <c r="G364" s="17" t="n">
        <v>64</v>
      </c>
      <c r="H364" s="17" t="n">
        <v>1500</v>
      </c>
      <c r="I364" s="17"/>
      <c r="J364" s="17" t="n">
        <v>5</v>
      </c>
      <c r="K364" s="17"/>
      <c r="L364" s="17"/>
      <c r="M364" s="17"/>
      <c r="N364" s="27" t="str">
        <f aca="false">IF(F364=_xlfn.MINIFS($F$2:$F$948,$A$2:$A$948,$A364,$B$2:$B$948,$B364),"BEST","")</f>
        <v/>
      </c>
    </row>
    <row r="365" customFormat="false" ht="15" hidden="false" customHeight="false" outlineLevel="0" collapsed="false">
      <c r="A365" s="16" t="s">
        <v>50</v>
      </c>
      <c r="B365" s="17" t="n">
        <v>4</v>
      </c>
      <c r="C365" s="17" t="s">
        <v>69</v>
      </c>
      <c r="D365" s="16" t="s">
        <v>68</v>
      </c>
      <c r="E365" s="17" t="n">
        <v>6</v>
      </c>
      <c r="F365" s="26" t="n">
        <v>0.104030877119463</v>
      </c>
      <c r="G365" s="17" t="n">
        <v>64</v>
      </c>
      <c r="H365" s="17" t="n">
        <v>1500</v>
      </c>
      <c r="I365" s="17"/>
      <c r="J365" s="17" t="n">
        <v>5</v>
      </c>
      <c r="K365" s="17"/>
      <c r="L365" s="17"/>
      <c r="M365" s="17"/>
      <c r="N365" s="27" t="str">
        <f aca="false">IF(F365=_xlfn.MINIFS($F$2:$F$948,$A$2:$A$948,$A365,$B$2:$B$948,$B365),"BEST","")</f>
        <v/>
      </c>
    </row>
    <row r="366" customFormat="false" ht="15" hidden="false" customHeight="false" outlineLevel="0" collapsed="false">
      <c r="A366" s="16" t="s">
        <v>50</v>
      </c>
      <c r="B366" s="17" t="n">
        <v>4</v>
      </c>
      <c r="C366" s="17" t="s">
        <v>69</v>
      </c>
      <c r="D366" s="16" t="s">
        <v>68</v>
      </c>
      <c r="E366" s="17" t="n">
        <v>7</v>
      </c>
      <c r="F366" s="26" t="n">
        <v>0.0990996354997806</v>
      </c>
      <c r="G366" s="17" t="n">
        <v>64</v>
      </c>
      <c r="H366" s="17" t="n">
        <v>1500</v>
      </c>
      <c r="I366" s="17"/>
      <c r="J366" s="17" t="n">
        <v>5</v>
      </c>
      <c r="K366" s="17"/>
      <c r="L366" s="17"/>
      <c r="M366" s="17"/>
      <c r="N366" s="27" t="str">
        <f aca="false">IF(F366=_xlfn.MINIFS($F$2:$F$948,$A$2:$A$948,$A366,$B$2:$B$948,$B366),"BEST","")</f>
        <v/>
      </c>
    </row>
    <row r="367" customFormat="false" ht="15" hidden="false" customHeight="false" outlineLevel="0" collapsed="false">
      <c r="A367" s="16" t="s">
        <v>50</v>
      </c>
      <c r="B367" s="17" t="n">
        <v>4</v>
      </c>
      <c r="C367" s="17" t="s">
        <v>69</v>
      </c>
      <c r="D367" s="16" t="s">
        <v>68</v>
      </c>
      <c r="E367" s="17" t="n">
        <v>8</v>
      </c>
      <c r="F367" s="26" t="n">
        <v>0.0906894376921498</v>
      </c>
      <c r="G367" s="17" t="n">
        <v>64</v>
      </c>
      <c r="H367" s="17" t="n">
        <v>1500</v>
      </c>
      <c r="I367" s="17"/>
      <c r="J367" s="17" t="n">
        <v>5</v>
      </c>
      <c r="K367" s="17"/>
      <c r="L367" s="17"/>
      <c r="M367" s="17"/>
      <c r="N367" s="27" t="str">
        <f aca="false">IF(F367=_xlfn.MINIFS($F$2:$F$948,$A$2:$A$948,$A367,$B$2:$B$948,$B367),"BEST","")</f>
        <v/>
      </c>
    </row>
    <row r="368" customFormat="false" ht="15" hidden="false" customHeight="false" outlineLevel="0" collapsed="false">
      <c r="A368" s="16" t="s">
        <v>50</v>
      </c>
      <c r="B368" s="17" t="n">
        <v>4</v>
      </c>
      <c r="C368" s="17" t="s">
        <v>69</v>
      </c>
      <c r="D368" s="16" t="s">
        <v>68</v>
      </c>
      <c r="E368" s="17" t="n">
        <v>9</v>
      </c>
      <c r="F368" s="26" t="n">
        <v>0.0979710961140535</v>
      </c>
      <c r="G368" s="17" t="n">
        <v>64</v>
      </c>
      <c r="H368" s="17" t="n">
        <v>1500</v>
      </c>
      <c r="I368" s="17"/>
      <c r="J368" s="17" t="n">
        <v>5</v>
      </c>
      <c r="K368" s="17"/>
      <c r="L368" s="17"/>
      <c r="M368" s="17"/>
      <c r="N368" s="27" t="str">
        <f aca="false">IF(F368=_xlfn.MINIFS($F$2:$F$948,$A$2:$A$948,$A368,$B$2:$B$948,$B368),"BEST","")</f>
        <v/>
      </c>
    </row>
    <row r="369" customFormat="false" ht="15" hidden="false" customHeight="false" outlineLevel="0" collapsed="false">
      <c r="A369" s="16" t="s">
        <v>50</v>
      </c>
      <c r="B369" s="17" t="n">
        <v>4</v>
      </c>
      <c r="C369" s="17" t="s">
        <v>69</v>
      </c>
      <c r="D369" s="16" t="s">
        <v>68</v>
      </c>
      <c r="E369" s="17" t="n">
        <v>10</v>
      </c>
      <c r="F369" s="26" t="n">
        <v>0.079928864408742</v>
      </c>
      <c r="G369" s="17" t="n">
        <v>64</v>
      </c>
      <c r="H369" s="17" t="n">
        <v>1500</v>
      </c>
      <c r="I369" s="17"/>
      <c r="J369" s="17" t="n">
        <v>5</v>
      </c>
      <c r="K369" s="17"/>
      <c r="L369" s="17"/>
      <c r="M369" s="17"/>
      <c r="N369" s="27" t="str">
        <f aca="false">IF(F369=_xlfn.MINIFS($F$2:$F$948,$A$2:$A$948,$A369,$B$2:$B$948,$B369),"BEST","")</f>
        <v/>
      </c>
    </row>
    <row r="370" customFormat="false" ht="15" hidden="false" customHeight="false" outlineLevel="0" collapsed="false">
      <c r="A370" s="16" t="s">
        <v>50</v>
      </c>
      <c r="B370" s="17" t="n">
        <v>4</v>
      </c>
      <c r="C370" s="17" t="s">
        <v>69</v>
      </c>
      <c r="D370" s="16" t="s">
        <v>68</v>
      </c>
      <c r="E370" s="17" t="n">
        <v>11</v>
      </c>
      <c r="F370" s="26" t="n">
        <v>0.124844904173493</v>
      </c>
      <c r="G370" s="17" t="n">
        <v>64</v>
      </c>
      <c r="H370" s="17" t="n">
        <v>1500</v>
      </c>
      <c r="I370" s="17"/>
      <c r="J370" s="17" t="n">
        <v>5</v>
      </c>
      <c r="K370" s="17"/>
      <c r="L370" s="17"/>
      <c r="M370" s="17"/>
      <c r="N370" s="27" t="str">
        <f aca="false">IF(F370=_xlfn.MINIFS($F$2:$F$948,$A$2:$A$948,$A370,$B$2:$B$948,$B370),"BEST","")</f>
        <v/>
      </c>
    </row>
    <row r="371" customFormat="false" ht="15" hidden="false" customHeight="false" outlineLevel="0" collapsed="false">
      <c r="A371" s="16" t="s">
        <v>50</v>
      </c>
      <c r="B371" s="17" t="n">
        <v>4</v>
      </c>
      <c r="C371" s="17" t="s">
        <v>69</v>
      </c>
      <c r="D371" s="16" t="s">
        <v>68</v>
      </c>
      <c r="E371" s="17" t="n">
        <v>12</v>
      </c>
      <c r="F371" s="26" t="n">
        <v>0.108050042327553</v>
      </c>
      <c r="G371" s="17" t="n">
        <v>64</v>
      </c>
      <c r="H371" s="17" t="n">
        <v>1500</v>
      </c>
      <c r="I371" s="17"/>
      <c r="J371" s="17" t="n">
        <v>5</v>
      </c>
      <c r="K371" s="17"/>
      <c r="L371" s="17"/>
      <c r="M371" s="17"/>
      <c r="N371" s="27" t="str">
        <f aca="false">IF(F371=_xlfn.MINIFS($F$2:$F$948,$A$2:$A$948,$A371,$B$2:$B$948,$B371),"BEST","")</f>
        <v/>
      </c>
    </row>
    <row r="372" customFormat="false" ht="15" hidden="false" customHeight="false" outlineLevel="0" collapsed="false">
      <c r="A372" s="16" t="s">
        <v>50</v>
      </c>
      <c r="B372" s="17" t="n">
        <v>4</v>
      </c>
      <c r="C372" s="17" t="s">
        <v>69</v>
      </c>
      <c r="D372" s="16" t="s">
        <v>68</v>
      </c>
      <c r="E372" s="17" t="n">
        <v>13</v>
      </c>
      <c r="F372" s="26" t="n">
        <v>0.101768219579531</v>
      </c>
      <c r="G372" s="17" t="n">
        <v>64</v>
      </c>
      <c r="H372" s="17" t="n">
        <v>1500</v>
      </c>
      <c r="I372" s="17"/>
      <c r="J372" s="17" t="n">
        <v>5</v>
      </c>
      <c r="K372" s="17"/>
      <c r="L372" s="17"/>
      <c r="M372" s="17"/>
      <c r="N372" s="27" t="str">
        <f aca="false">IF(F372=_xlfn.MINIFS($F$2:$F$948,$A$2:$A$948,$A372,$B$2:$B$948,$B372),"BEST","")</f>
        <v/>
      </c>
    </row>
    <row r="373" customFormat="false" ht="15" hidden="false" customHeight="false" outlineLevel="0" collapsed="false">
      <c r="A373" s="16" t="s">
        <v>50</v>
      </c>
      <c r="B373" s="17" t="n">
        <v>4</v>
      </c>
      <c r="C373" s="17" t="s">
        <v>69</v>
      </c>
      <c r="D373" s="16" t="s">
        <v>68</v>
      </c>
      <c r="E373" s="17" t="n">
        <v>14</v>
      </c>
      <c r="F373" s="26" t="n">
        <v>0.0503004429304274</v>
      </c>
      <c r="G373" s="17" t="n">
        <v>64</v>
      </c>
      <c r="H373" s="17" t="n">
        <v>1500</v>
      </c>
      <c r="I373" s="17"/>
      <c r="J373" s="17" t="n">
        <v>5</v>
      </c>
      <c r="K373" s="17"/>
      <c r="L373" s="17"/>
      <c r="M373" s="17"/>
      <c r="N373" s="27" t="str">
        <f aca="false">IF(F373=_xlfn.MINIFS($F$2:$F$948,$A$2:$A$948,$A373,$B$2:$B$948,$B373),"BEST","")</f>
        <v/>
      </c>
    </row>
    <row r="374" customFormat="false" ht="15" hidden="false" customHeight="false" outlineLevel="0" collapsed="false">
      <c r="A374" s="16" t="s">
        <v>50</v>
      </c>
      <c r="B374" s="17" t="n">
        <v>4</v>
      </c>
      <c r="C374" s="17" t="s">
        <v>69</v>
      </c>
      <c r="D374" s="16" t="s">
        <v>68</v>
      </c>
      <c r="E374" s="17" t="n">
        <v>15</v>
      </c>
      <c r="F374" s="26" t="n">
        <v>0.0879880968837437</v>
      </c>
      <c r="G374" s="17" t="n">
        <v>64</v>
      </c>
      <c r="H374" s="17" t="n">
        <v>1500</v>
      </c>
      <c r="I374" s="17"/>
      <c r="J374" s="17" t="n">
        <v>5</v>
      </c>
      <c r="K374" s="17"/>
      <c r="L374" s="17"/>
      <c r="M374" s="17"/>
      <c r="N374" s="27" t="str">
        <f aca="false">IF(F374=_xlfn.MINIFS($F$2:$F$948,$A$2:$A$948,$A374,$B$2:$B$948,$B374),"BEST","")</f>
        <v/>
      </c>
    </row>
    <row r="375" customFormat="false" ht="15" hidden="false" customHeight="false" outlineLevel="0" collapsed="false">
      <c r="A375" s="16" t="s">
        <v>50</v>
      </c>
      <c r="B375" s="17" t="n">
        <v>4</v>
      </c>
      <c r="C375" s="17" t="s">
        <v>69</v>
      </c>
      <c r="D375" s="16" t="s">
        <v>68</v>
      </c>
      <c r="E375" s="17" t="n">
        <v>16</v>
      </c>
      <c r="F375" s="26" t="n">
        <v>0.110972231958209</v>
      </c>
      <c r="G375" s="17" t="n">
        <v>64</v>
      </c>
      <c r="H375" s="17" t="n">
        <v>1500</v>
      </c>
      <c r="I375" s="17"/>
      <c r="J375" s="17" t="n">
        <v>5</v>
      </c>
      <c r="K375" s="17"/>
      <c r="L375" s="17"/>
      <c r="M375" s="17"/>
      <c r="N375" s="27" t="str">
        <f aca="false">IF(F375=_xlfn.MINIFS($F$2:$F$948,$A$2:$A$948,$A375,$B$2:$B$948,$B375),"BEST","")</f>
        <v/>
      </c>
    </row>
    <row r="376" customFormat="false" ht="15" hidden="false" customHeight="false" outlineLevel="0" collapsed="false">
      <c r="A376" s="16" t="s">
        <v>50</v>
      </c>
      <c r="B376" s="17" t="n">
        <v>4</v>
      </c>
      <c r="C376" s="17" t="s">
        <v>69</v>
      </c>
      <c r="D376" s="16" t="s">
        <v>68</v>
      </c>
      <c r="E376" s="17" t="n">
        <v>17</v>
      </c>
      <c r="F376" s="26" t="n">
        <v>0.102277385578738</v>
      </c>
      <c r="G376" s="17" t="n">
        <v>64</v>
      </c>
      <c r="H376" s="17" t="n">
        <v>1500</v>
      </c>
      <c r="I376" s="17"/>
      <c r="J376" s="17" t="n">
        <v>5</v>
      </c>
      <c r="K376" s="17"/>
      <c r="L376" s="17"/>
      <c r="M376" s="17"/>
      <c r="N376" s="27" t="str">
        <f aca="false">IF(F376=_xlfn.MINIFS($F$2:$F$948,$A$2:$A$948,$A376,$B$2:$B$948,$B376),"BEST","")</f>
        <v/>
      </c>
    </row>
    <row r="377" customFormat="false" ht="15" hidden="false" customHeight="false" outlineLevel="0" collapsed="false">
      <c r="A377" s="16" t="s">
        <v>50</v>
      </c>
      <c r="B377" s="17" t="n">
        <v>4</v>
      </c>
      <c r="C377" s="17" t="s">
        <v>69</v>
      </c>
      <c r="D377" s="16" t="s">
        <v>68</v>
      </c>
      <c r="E377" s="17" t="n">
        <v>18</v>
      </c>
      <c r="F377" s="26" t="n">
        <v>0.0781657954693741</v>
      </c>
      <c r="G377" s="17" t="n">
        <v>64</v>
      </c>
      <c r="H377" s="17" t="n">
        <v>1500</v>
      </c>
      <c r="I377" s="17"/>
      <c r="J377" s="17" t="n">
        <v>5</v>
      </c>
      <c r="K377" s="17"/>
      <c r="L377" s="17"/>
      <c r="M377" s="17"/>
      <c r="N377" s="27" t="str">
        <f aca="false">IF(F377=_xlfn.MINIFS($F$2:$F$948,$A$2:$A$948,$A377,$B$2:$B$948,$B377),"BEST","")</f>
        <v/>
      </c>
    </row>
    <row r="378" customFormat="false" ht="15" hidden="false" customHeight="false" outlineLevel="0" collapsed="false">
      <c r="A378" s="16" t="s">
        <v>50</v>
      </c>
      <c r="B378" s="17" t="n">
        <v>4</v>
      </c>
      <c r="C378" s="17" t="s">
        <v>69</v>
      </c>
      <c r="D378" s="16" t="s">
        <v>68</v>
      </c>
      <c r="E378" s="17" t="n">
        <v>19</v>
      </c>
      <c r="F378" s="26" t="n">
        <v>0.094466959114321</v>
      </c>
      <c r="G378" s="17" t="n">
        <v>64</v>
      </c>
      <c r="H378" s="17" t="n">
        <v>1500</v>
      </c>
      <c r="I378" s="17"/>
      <c r="J378" s="17" t="n">
        <v>5</v>
      </c>
      <c r="K378" s="17"/>
      <c r="L378" s="17"/>
      <c r="M378" s="17"/>
      <c r="N378" s="27" t="str">
        <f aca="false">IF(F378=_xlfn.MINIFS($F$2:$F$948,$A$2:$A$948,$A378,$B$2:$B$948,$B378),"BEST","")</f>
        <v/>
      </c>
    </row>
    <row r="379" customFormat="false" ht="15" hidden="false" customHeight="false" outlineLevel="0" collapsed="false">
      <c r="A379" s="16" t="s">
        <v>50</v>
      </c>
      <c r="B379" s="17" t="n">
        <v>4</v>
      </c>
      <c r="C379" s="17" t="s">
        <v>70</v>
      </c>
      <c r="D379" s="16" t="s">
        <v>68</v>
      </c>
      <c r="E379" s="17" t="n">
        <v>0</v>
      </c>
      <c r="F379" s="26" t="n">
        <v>0.00185509412682739</v>
      </c>
      <c r="G379" s="17" t="n">
        <v>56</v>
      </c>
      <c r="H379" s="17" t="n">
        <v>1500</v>
      </c>
      <c r="I379" s="17"/>
      <c r="J379" s="17" t="n">
        <v>5</v>
      </c>
      <c r="K379" s="17"/>
      <c r="L379" s="17"/>
      <c r="M379" s="17" t="n">
        <v>3</v>
      </c>
      <c r="N379" s="27" t="str">
        <f aca="false">IF(F379=_xlfn.MINIFS($F$2:$F$948,$A$2:$A$948,$A379,$B$2:$B$948,$B379),"BEST","")</f>
        <v/>
      </c>
    </row>
    <row r="380" customFormat="false" ht="15" hidden="false" customHeight="false" outlineLevel="0" collapsed="false">
      <c r="A380" s="16" t="s">
        <v>50</v>
      </c>
      <c r="B380" s="17" t="n">
        <v>4</v>
      </c>
      <c r="C380" s="17" t="s">
        <v>70</v>
      </c>
      <c r="D380" s="16" t="s">
        <v>68</v>
      </c>
      <c r="E380" s="17" t="n">
        <v>1</v>
      </c>
      <c r="F380" s="26" t="n">
        <v>0.00185509412682739</v>
      </c>
      <c r="G380" s="17" t="n">
        <v>56</v>
      </c>
      <c r="H380" s="17" t="n">
        <v>1500</v>
      </c>
      <c r="I380" s="17"/>
      <c r="J380" s="17" t="n">
        <v>5</v>
      </c>
      <c r="K380" s="17"/>
      <c r="L380" s="17"/>
      <c r="M380" s="17" t="n">
        <v>3</v>
      </c>
      <c r="N380" s="27" t="str">
        <f aca="false">IF(F380=_xlfn.MINIFS($F$2:$F$948,$A$2:$A$948,$A380,$B$2:$B$948,$B380),"BEST","")</f>
        <v/>
      </c>
    </row>
    <row r="381" customFormat="false" ht="15" hidden="false" customHeight="false" outlineLevel="0" collapsed="false">
      <c r="A381" s="16" t="s">
        <v>50</v>
      </c>
      <c r="B381" s="17" t="n">
        <v>4</v>
      </c>
      <c r="C381" s="17" t="s">
        <v>70</v>
      </c>
      <c r="D381" s="16" t="s">
        <v>68</v>
      </c>
      <c r="E381" s="17" t="n">
        <v>2</v>
      </c>
      <c r="F381" s="26" t="n">
        <v>0.00185509412682739</v>
      </c>
      <c r="G381" s="17" t="n">
        <v>56</v>
      </c>
      <c r="H381" s="17" t="n">
        <v>1500</v>
      </c>
      <c r="I381" s="17"/>
      <c r="J381" s="17" t="n">
        <v>5</v>
      </c>
      <c r="K381" s="17"/>
      <c r="L381" s="17"/>
      <c r="M381" s="17" t="n">
        <v>3</v>
      </c>
      <c r="N381" s="27" t="str">
        <f aca="false">IF(F381=_xlfn.MINIFS($F$2:$F$948,$A$2:$A$948,$A381,$B$2:$B$948,$B381),"BEST","")</f>
        <v/>
      </c>
    </row>
    <row r="382" customFormat="false" ht="15" hidden="false" customHeight="false" outlineLevel="0" collapsed="false">
      <c r="A382" s="16" t="s">
        <v>50</v>
      </c>
      <c r="B382" s="17" t="n">
        <v>4</v>
      </c>
      <c r="C382" s="17" t="s">
        <v>70</v>
      </c>
      <c r="D382" s="16" t="s">
        <v>68</v>
      </c>
      <c r="E382" s="17" t="n">
        <v>3</v>
      </c>
      <c r="F382" s="26" t="n">
        <v>0.00185509412682739</v>
      </c>
      <c r="G382" s="17" t="n">
        <v>56</v>
      </c>
      <c r="H382" s="17" t="n">
        <v>1500</v>
      </c>
      <c r="I382" s="17"/>
      <c r="J382" s="17" t="n">
        <v>5</v>
      </c>
      <c r="K382" s="17"/>
      <c r="L382" s="17"/>
      <c r="M382" s="17" t="n">
        <v>3</v>
      </c>
      <c r="N382" s="27" t="str">
        <f aca="false">IF(F382=_xlfn.MINIFS($F$2:$F$948,$A$2:$A$948,$A382,$B$2:$B$948,$B382),"BEST","")</f>
        <v/>
      </c>
    </row>
    <row r="383" customFormat="false" ht="15" hidden="false" customHeight="false" outlineLevel="0" collapsed="false">
      <c r="A383" s="16" t="s">
        <v>50</v>
      </c>
      <c r="B383" s="17" t="n">
        <v>4</v>
      </c>
      <c r="C383" s="17" t="s">
        <v>70</v>
      </c>
      <c r="D383" s="16" t="s">
        <v>68</v>
      </c>
      <c r="E383" s="17" t="n">
        <v>4</v>
      </c>
      <c r="F383" s="26" t="n">
        <v>0.00185509412682739</v>
      </c>
      <c r="G383" s="17" t="n">
        <v>56</v>
      </c>
      <c r="H383" s="17" t="n">
        <v>1500</v>
      </c>
      <c r="I383" s="17"/>
      <c r="J383" s="17" t="n">
        <v>5</v>
      </c>
      <c r="K383" s="17"/>
      <c r="L383" s="17"/>
      <c r="M383" s="17" t="n">
        <v>3</v>
      </c>
      <c r="N383" s="27" t="str">
        <f aca="false">IF(F383=_xlfn.MINIFS($F$2:$F$948,$A$2:$A$948,$A383,$B$2:$B$948,$B383),"BEST","")</f>
        <v/>
      </c>
    </row>
    <row r="384" customFormat="false" ht="15" hidden="false" customHeight="false" outlineLevel="0" collapsed="false">
      <c r="A384" s="16" t="s">
        <v>50</v>
      </c>
      <c r="B384" s="17" t="n">
        <v>4</v>
      </c>
      <c r="C384" s="17" t="s">
        <v>70</v>
      </c>
      <c r="D384" s="16" t="s">
        <v>68</v>
      </c>
      <c r="E384" s="17" t="n">
        <v>5</v>
      </c>
      <c r="F384" s="26" t="n">
        <v>0.00185509412682739</v>
      </c>
      <c r="G384" s="17" t="n">
        <v>56</v>
      </c>
      <c r="H384" s="17" t="n">
        <v>1500</v>
      </c>
      <c r="I384" s="17"/>
      <c r="J384" s="17" t="n">
        <v>5</v>
      </c>
      <c r="K384" s="17"/>
      <c r="L384" s="17"/>
      <c r="M384" s="17" t="n">
        <v>3</v>
      </c>
      <c r="N384" s="27" t="str">
        <f aca="false">IF(F384=_xlfn.MINIFS($F$2:$F$948,$A$2:$A$948,$A384,$B$2:$B$948,$B384),"BEST","")</f>
        <v/>
      </c>
    </row>
    <row r="385" customFormat="false" ht="15" hidden="false" customHeight="false" outlineLevel="0" collapsed="false">
      <c r="A385" s="16" t="s">
        <v>50</v>
      </c>
      <c r="B385" s="17" t="n">
        <v>4</v>
      </c>
      <c r="C385" s="17" t="s">
        <v>70</v>
      </c>
      <c r="D385" s="16" t="s">
        <v>68</v>
      </c>
      <c r="E385" s="17" t="n">
        <v>6</v>
      </c>
      <c r="F385" s="26" t="n">
        <v>0.00185509412682739</v>
      </c>
      <c r="G385" s="17" t="n">
        <v>56</v>
      </c>
      <c r="H385" s="17" t="n">
        <v>1500</v>
      </c>
      <c r="I385" s="17"/>
      <c r="J385" s="17" t="n">
        <v>5</v>
      </c>
      <c r="K385" s="17"/>
      <c r="L385" s="17"/>
      <c r="M385" s="17" t="n">
        <v>3</v>
      </c>
      <c r="N385" s="27" t="str">
        <f aca="false">IF(F385=_xlfn.MINIFS($F$2:$F$948,$A$2:$A$948,$A385,$B$2:$B$948,$B385),"BEST","")</f>
        <v/>
      </c>
    </row>
    <row r="386" customFormat="false" ht="15" hidden="false" customHeight="false" outlineLevel="0" collapsed="false">
      <c r="A386" s="16" t="s">
        <v>50</v>
      </c>
      <c r="B386" s="17" t="n">
        <v>4</v>
      </c>
      <c r="C386" s="17" t="s">
        <v>70</v>
      </c>
      <c r="D386" s="16" t="s">
        <v>68</v>
      </c>
      <c r="E386" s="17" t="n">
        <v>7</v>
      </c>
      <c r="F386" s="26" t="n">
        <v>0.00185509412682739</v>
      </c>
      <c r="G386" s="17" t="n">
        <v>56</v>
      </c>
      <c r="H386" s="17" t="n">
        <v>1500</v>
      </c>
      <c r="I386" s="17"/>
      <c r="J386" s="17" t="n">
        <v>5</v>
      </c>
      <c r="K386" s="17"/>
      <c r="L386" s="17"/>
      <c r="M386" s="17" t="n">
        <v>3</v>
      </c>
      <c r="N386" s="27" t="str">
        <f aca="false">IF(F386=_xlfn.MINIFS($F$2:$F$948,$A$2:$A$948,$A386,$B$2:$B$948,$B386),"BEST","")</f>
        <v/>
      </c>
    </row>
    <row r="387" customFormat="false" ht="15" hidden="false" customHeight="false" outlineLevel="0" collapsed="false">
      <c r="A387" s="16" t="s">
        <v>50</v>
      </c>
      <c r="B387" s="17" t="n">
        <v>4</v>
      </c>
      <c r="C387" s="17" t="s">
        <v>70</v>
      </c>
      <c r="D387" s="16" t="s">
        <v>68</v>
      </c>
      <c r="E387" s="17" t="n">
        <v>8</v>
      </c>
      <c r="F387" s="26" t="n">
        <v>0.00185509412682739</v>
      </c>
      <c r="G387" s="17" t="n">
        <v>56</v>
      </c>
      <c r="H387" s="17" t="n">
        <v>1500</v>
      </c>
      <c r="I387" s="17"/>
      <c r="J387" s="17" t="n">
        <v>5</v>
      </c>
      <c r="K387" s="17"/>
      <c r="L387" s="17"/>
      <c r="M387" s="17" t="n">
        <v>3</v>
      </c>
      <c r="N387" s="27" t="str">
        <f aca="false">IF(F387=_xlfn.MINIFS($F$2:$F$948,$A$2:$A$948,$A387,$B$2:$B$948,$B387),"BEST","")</f>
        <v/>
      </c>
    </row>
    <row r="388" customFormat="false" ht="15" hidden="false" customHeight="false" outlineLevel="0" collapsed="false">
      <c r="A388" s="16" t="s">
        <v>50</v>
      </c>
      <c r="B388" s="17" t="n">
        <v>4</v>
      </c>
      <c r="C388" s="17" t="s">
        <v>70</v>
      </c>
      <c r="D388" s="16" t="s">
        <v>68</v>
      </c>
      <c r="E388" s="17" t="n">
        <v>9</v>
      </c>
      <c r="F388" s="26" t="n">
        <v>0.00185509412682739</v>
      </c>
      <c r="G388" s="17" t="n">
        <v>56</v>
      </c>
      <c r="H388" s="17" t="n">
        <v>1500</v>
      </c>
      <c r="I388" s="17"/>
      <c r="J388" s="17" t="n">
        <v>5</v>
      </c>
      <c r="K388" s="17"/>
      <c r="L388" s="17"/>
      <c r="M388" s="17" t="n">
        <v>3</v>
      </c>
      <c r="N388" s="27" t="str">
        <f aca="false">IF(F388=_xlfn.MINIFS($F$2:$F$948,$A$2:$A$948,$A388,$B$2:$B$948,$B388),"BEST","")</f>
        <v/>
      </c>
    </row>
    <row r="389" customFormat="false" ht="15" hidden="false" customHeight="false" outlineLevel="0" collapsed="false">
      <c r="A389" s="16" t="s">
        <v>50</v>
      </c>
      <c r="B389" s="17" t="n">
        <v>4</v>
      </c>
      <c r="C389" s="17" t="s">
        <v>70</v>
      </c>
      <c r="D389" s="16" t="s">
        <v>68</v>
      </c>
      <c r="E389" s="17" t="n">
        <v>10</v>
      </c>
      <c r="F389" s="26" t="n">
        <v>0.00185509412682739</v>
      </c>
      <c r="G389" s="17" t="n">
        <v>56</v>
      </c>
      <c r="H389" s="17" t="n">
        <v>1500</v>
      </c>
      <c r="I389" s="17"/>
      <c r="J389" s="17" t="n">
        <v>5</v>
      </c>
      <c r="K389" s="17"/>
      <c r="L389" s="17"/>
      <c r="M389" s="17" t="n">
        <v>3</v>
      </c>
      <c r="N389" s="27" t="str">
        <f aca="false">IF(F389=_xlfn.MINIFS($F$2:$F$948,$A$2:$A$948,$A389,$B$2:$B$948,$B389),"BEST","")</f>
        <v/>
      </c>
    </row>
    <row r="390" customFormat="false" ht="15" hidden="false" customHeight="false" outlineLevel="0" collapsed="false">
      <c r="A390" s="16" t="s">
        <v>50</v>
      </c>
      <c r="B390" s="17" t="n">
        <v>4</v>
      </c>
      <c r="C390" s="17" t="s">
        <v>70</v>
      </c>
      <c r="D390" s="16" t="s">
        <v>68</v>
      </c>
      <c r="E390" s="17" t="n">
        <v>11</v>
      </c>
      <c r="F390" s="26" t="n">
        <v>0.00185509412682739</v>
      </c>
      <c r="G390" s="17" t="n">
        <v>56</v>
      </c>
      <c r="H390" s="17" t="n">
        <v>1500</v>
      </c>
      <c r="I390" s="17"/>
      <c r="J390" s="17" t="n">
        <v>5</v>
      </c>
      <c r="K390" s="17"/>
      <c r="L390" s="17"/>
      <c r="M390" s="17" t="n">
        <v>3</v>
      </c>
      <c r="N390" s="27" t="str">
        <f aca="false">IF(F390=_xlfn.MINIFS($F$2:$F$948,$A$2:$A$948,$A390,$B$2:$B$948,$B390),"BEST","")</f>
        <v/>
      </c>
    </row>
    <row r="391" customFormat="false" ht="15" hidden="false" customHeight="false" outlineLevel="0" collapsed="false">
      <c r="A391" s="16" t="s">
        <v>50</v>
      </c>
      <c r="B391" s="17" t="n">
        <v>4</v>
      </c>
      <c r="C391" s="17" t="s">
        <v>70</v>
      </c>
      <c r="D391" s="16" t="s">
        <v>68</v>
      </c>
      <c r="E391" s="17" t="n">
        <v>12</v>
      </c>
      <c r="F391" s="26" t="n">
        <v>0.00185509412682739</v>
      </c>
      <c r="G391" s="17" t="n">
        <v>56</v>
      </c>
      <c r="H391" s="17" t="n">
        <v>1500</v>
      </c>
      <c r="I391" s="17"/>
      <c r="J391" s="17" t="n">
        <v>5</v>
      </c>
      <c r="K391" s="17"/>
      <c r="L391" s="17"/>
      <c r="M391" s="17" t="n">
        <v>3</v>
      </c>
      <c r="N391" s="27" t="str">
        <f aca="false">IF(F391=_xlfn.MINIFS($F$2:$F$948,$A$2:$A$948,$A391,$B$2:$B$948,$B391),"BEST","")</f>
        <v/>
      </c>
    </row>
    <row r="392" customFormat="false" ht="15" hidden="false" customHeight="false" outlineLevel="0" collapsed="false">
      <c r="A392" s="16" t="s">
        <v>50</v>
      </c>
      <c r="B392" s="17" t="n">
        <v>4</v>
      </c>
      <c r="C392" s="17" t="s">
        <v>70</v>
      </c>
      <c r="D392" s="16" t="s">
        <v>68</v>
      </c>
      <c r="E392" s="17" t="n">
        <v>13</v>
      </c>
      <c r="F392" s="26" t="n">
        <v>0.00185509412682739</v>
      </c>
      <c r="G392" s="17" t="n">
        <v>56</v>
      </c>
      <c r="H392" s="17" t="n">
        <v>1500</v>
      </c>
      <c r="I392" s="17"/>
      <c r="J392" s="17" t="n">
        <v>5</v>
      </c>
      <c r="K392" s="17"/>
      <c r="L392" s="17"/>
      <c r="M392" s="17" t="n">
        <v>3</v>
      </c>
      <c r="N392" s="27" t="str">
        <f aca="false">IF(F392=_xlfn.MINIFS($F$2:$F$948,$A$2:$A$948,$A392,$B$2:$B$948,$B392),"BEST","")</f>
        <v/>
      </c>
    </row>
    <row r="393" customFormat="false" ht="15" hidden="false" customHeight="false" outlineLevel="0" collapsed="false">
      <c r="A393" s="16" t="s">
        <v>50</v>
      </c>
      <c r="B393" s="17" t="n">
        <v>4</v>
      </c>
      <c r="C393" s="17" t="s">
        <v>70</v>
      </c>
      <c r="D393" s="16" t="s">
        <v>68</v>
      </c>
      <c r="E393" s="17" t="n">
        <v>14</v>
      </c>
      <c r="F393" s="26" t="n">
        <v>0.00185509412682739</v>
      </c>
      <c r="G393" s="17" t="n">
        <v>56</v>
      </c>
      <c r="H393" s="17" t="n">
        <v>1500</v>
      </c>
      <c r="I393" s="17"/>
      <c r="J393" s="17" t="n">
        <v>5</v>
      </c>
      <c r="K393" s="17"/>
      <c r="L393" s="17"/>
      <c r="M393" s="17" t="n">
        <v>3</v>
      </c>
      <c r="N393" s="27" t="str">
        <f aca="false">IF(F393=_xlfn.MINIFS($F$2:$F$948,$A$2:$A$948,$A393,$B$2:$B$948,$B393),"BEST","")</f>
        <v/>
      </c>
    </row>
    <row r="394" customFormat="false" ht="15" hidden="false" customHeight="false" outlineLevel="0" collapsed="false">
      <c r="A394" s="16" t="s">
        <v>50</v>
      </c>
      <c r="B394" s="17" t="n">
        <v>4</v>
      </c>
      <c r="C394" s="17" t="s">
        <v>70</v>
      </c>
      <c r="D394" s="16" t="s">
        <v>68</v>
      </c>
      <c r="E394" s="17" t="n">
        <v>15</v>
      </c>
      <c r="F394" s="26" t="n">
        <v>0.00185509412682739</v>
      </c>
      <c r="G394" s="17" t="n">
        <v>56</v>
      </c>
      <c r="H394" s="17" t="n">
        <v>1500</v>
      </c>
      <c r="I394" s="17"/>
      <c r="J394" s="17" t="n">
        <v>5</v>
      </c>
      <c r="K394" s="17"/>
      <c r="L394" s="17"/>
      <c r="M394" s="17" t="n">
        <v>3</v>
      </c>
      <c r="N394" s="27" t="str">
        <f aca="false">IF(F394=_xlfn.MINIFS($F$2:$F$948,$A$2:$A$948,$A394,$B$2:$B$948,$B394),"BEST","")</f>
        <v/>
      </c>
    </row>
    <row r="395" customFormat="false" ht="15" hidden="false" customHeight="false" outlineLevel="0" collapsed="false">
      <c r="A395" s="16" t="s">
        <v>50</v>
      </c>
      <c r="B395" s="17" t="n">
        <v>4</v>
      </c>
      <c r="C395" s="17" t="s">
        <v>70</v>
      </c>
      <c r="D395" s="16" t="s">
        <v>68</v>
      </c>
      <c r="E395" s="17" t="n">
        <v>16</v>
      </c>
      <c r="F395" s="26" t="n">
        <v>0.00185509412682739</v>
      </c>
      <c r="G395" s="17" t="n">
        <v>56</v>
      </c>
      <c r="H395" s="17" t="n">
        <v>1500</v>
      </c>
      <c r="I395" s="17"/>
      <c r="J395" s="17" t="n">
        <v>5</v>
      </c>
      <c r="K395" s="17"/>
      <c r="L395" s="17"/>
      <c r="M395" s="17" t="n">
        <v>3</v>
      </c>
      <c r="N395" s="27" t="str">
        <f aca="false">IF(F395=_xlfn.MINIFS($F$2:$F$948,$A$2:$A$948,$A395,$B$2:$B$948,$B395),"BEST","")</f>
        <v/>
      </c>
    </row>
    <row r="396" customFormat="false" ht="15" hidden="false" customHeight="false" outlineLevel="0" collapsed="false">
      <c r="A396" s="16" t="s">
        <v>50</v>
      </c>
      <c r="B396" s="17" t="n">
        <v>4</v>
      </c>
      <c r="C396" s="17" t="s">
        <v>70</v>
      </c>
      <c r="D396" s="16" t="s">
        <v>68</v>
      </c>
      <c r="E396" s="17" t="n">
        <v>17</v>
      </c>
      <c r="F396" s="26" t="n">
        <v>0.00185509412682739</v>
      </c>
      <c r="G396" s="17" t="n">
        <v>56</v>
      </c>
      <c r="H396" s="17" t="n">
        <v>1500</v>
      </c>
      <c r="I396" s="17"/>
      <c r="J396" s="17" t="n">
        <v>5</v>
      </c>
      <c r="K396" s="17"/>
      <c r="L396" s="17"/>
      <c r="M396" s="17" t="n">
        <v>3</v>
      </c>
      <c r="N396" s="27" t="str">
        <f aca="false">IF(F396=_xlfn.MINIFS($F$2:$F$948,$A$2:$A$948,$A396,$B$2:$B$948,$B396),"BEST","")</f>
        <v/>
      </c>
    </row>
    <row r="397" customFormat="false" ht="15" hidden="false" customHeight="false" outlineLevel="0" collapsed="false">
      <c r="A397" s="16" t="s">
        <v>50</v>
      </c>
      <c r="B397" s="17" t="n">
        <v>4</v>
      </c>
      <c r="C397" s="17" t="s">
        <v>70</v>
      </c>
      <c r="D397" s="16" t="s">
        <v>68</v>
      </c>
      <c r="E397" s="17" t="n">
        <v>18</v>
      </c>
      <c r="F397" s="26" t="n">
        <v>0.00185509412682739</v>
      </c>
      <c r="G397" s="17" t="n">
        <v>56</v>
      </c>
      <c r="H397" s="17" t="n">
        <v>1500</v>
      </c>
      <c r="I397" s="17"/>
      <c r="J397" s="17" t="n">
        <v>5</v>
      </c>
      <c r="K397" s="17"/>
      <c r="L397" s="17"/>
      <c r="M397" s="17" t="n">
        <v>3</v>
      </c>
      <c r="N397" s="27" t="str">
        <f aca="false">IF(F397=_xlfn.MINIFS($F$2:$F$948,$A$2:$A$948,$A397,$B$2:$B$948,$B397),"BEST","")</f>
        <v/>
      </c>
    </row>
    <row r="398" customFormat="false" ht="15" hidden="false" customHeight="false" outlineLevel="0" collapsed="false">
      <c r="A398" s="16" t="s">
        <v>50</v>
      </c>
      <c r="B398" s="17" t="n">
        <v>4</v>
      </c>
      <c r="C398" s="17" t="s">
        <v>70</v>
      </c>
      <c r="D398" s="16" t="s">
        <v>68</v>
      </c>
      <c r="E398" s="17" t="n">
        <v>19</v>
      </c>
      <c r="F398" s="26" t="n">
        <v>0.00185509412682739</v>
      </c>
      <c r="G398" s="17" t="n">
        <v>56</v>
      </c>
      <c r="H398" s="17" t="n">
        <v>1500</v>
      </c>
      <c r="I398" s="17"/>
      <c r="J398" s="17" t="n">
        <v>5</v>
      </c>
      <c r="K398" s="17"/>
      <c r="L398" s="17"/>
      <c r="M398" s="17" t="n">
        <v>3</v>
      </c>
      <c r="N398" s="27" t="str">
        <f aca="false">IF(F398=_xlfn.MINIFS($F$2:$F$948,$A$2:$A$948,$A398,$B$2:$B$948,$B398),"BEST","")</f>
        <v/>
      </c>
    </row>
    <row r="399" customFormat="false" ht="15" hidden="false" customHeight="false" outlineLevel="0" collapsed="false">
      <c r="A399" s="22" t="s">
        <v>50</v>
      </c>
      <c r="B399" s="23" t="n">
        <v>4</v>
      </c>
      <c r="C399" s="23" t="s">
        <v>71</v>
      </c>
      <c r="D399" s="22" t="s">
        <v>72</v>
      </c>
      <c r="E399" s="23" t="n">
        <v>0</v>
      </c>
      <c r="F399" s="28" t="n">
        <v>0.0122947988237634</v>
      </c>
      <c r="G399" s="23" t="n">
        <v>64</v>
      </c>
      <c r="H399" s="23" t="n">
        <v>1500</v>
      </c>
      <c r="I399" s="23" t="n">
        <v>4</v>
      </c>
      <c r="J399" s="23" t="n">
        <v>5</v>
      </c>
      <c r="K399" s="22" t="s">
        <v>73</v>
      </c>
      <c r="L399" s="22" t="s">
        <v>74</v>
      </c>
      <c r="M399" s="23"/>
      <c r="N399" s="27" t="str">
        <f aca="false">IF(F399=_xlfn.MINIFS($F$2:$F$948,$A$2:$A$948,$A399,$B$2:$B$948,$B399),"BEST","")</f>
        <v/>
      </c>
    </row>
    <row r="400" customFormat="false" ht="15" hidden="false" customHeight="false" outlineLevel="0" collapsed="false">
      <c r="A400" s="22" t="s">
        <v>50</v>
      </c>
      <c r="B400" s="23" t="n">
        <v>4</v>
      </c>
      <c r="C400" s="23" t="s">
        <v>71</v>
      </c>
      <c r="D400" s="22" t="s">
        <v>72</v>
      </c>
      <c r="E400" s="23" t="n">
        <v>1</v>
      </c>
      <c r="F400" s="28" t="n">
        <v>0.0143013739319553</v>
      </c>
      <c r="G400" s="23" t="n">
        <v>64</v>
      </c>
      <c r="H400" s="23" t="n">
        <v>1500</v>
      </c>
      <c r="I400" s="23" t="n">
        <v>4</v>
      </c>
      <c r="J400" s="23" t="n">
        <v>5</v>
      </c>
      <c r="K400" s="22" t="s">
        <v>73</v>
      </c>
      <c r="L400" s="22" t="s">
        <v>74</v>
      </c>
      <c r="M400" s="23"/>
      <c r="N400" s="27" t="str">
        <f aca="false">IF(F400=_xlfn.MINIFS($F$2:$F$948,$A$2:$A$948,$A400,$B$2:$B$948,$B400),"BEST","")</f>
        <v/>
      </c>
    </row>
    <row r="401" customFormat="false" ht="15" hidden="false" customHeight="false" outlineLevel="0" collapsed="false">
      <c r="A401" s="22" t="s">
        <v>50</v>
      </c>
      <c r="B401" s="23" t="n">
        <v>4</v>
      </c>
      <c r="C401" s="23" t="s">
        <v>71</v>
      </c>
      <c r="D401" s="22" t="s">
        <v>72</v>
      </c>
      <c r="E401" s="23" t="n">
        <v>2</v>
      </c>
      <c r="F401" s="28" t="n">
        <v>0.0132455445619662</v>
      </c>
      <c r="G401" s="23" t="n">
        <v>64</v>
      </c>
      <c r="H401" s="23" t="n">
        <v>1500</v>
      </c>
      <c r="I401" s="23" t="n">
        <v>4</v>
      </c>
      <c r="J401" s="23" t="n">
        <v>5</v>
      </c>
      <c r="K401" s="22" t="s">
        <v>73</v>
      </c>
      <c r="L401" s="22" t="s">
        <v>74</v>
      </c>
      <c r="M401" s="23"/>
      <c r="N401" s="27" t="str">
        <f aca="false">IF(F401=_xlfn.MINIFS($F$2:$F$948,$A$2:$A$948,$A401,$B$2:$B$948,$B401),"BEST","")</f>
        <v/>
      </c>
    </row>
    <row r="402" customFormat="false" ht="15" hidden="false" customHeight="false" outlineLevel="0" collapsed="false">
      <c r="A402" s="22" t="s">
        <v>50</v>
      </c>
      <c r="B402" s="23" t="n">
        <v>4</v>
      </c>
      <c r="C402" s="23" t="s">
        <v>71</v>
      </c>
      <c r="D402" s="22" t="s">
        <v>72</v>
      </c>
      <c r="E402" s="23" t="n">
        <v>3</v>
      </c>
      <c r="F402" s="28" t="n">
        <v>0.0139172424220239</v>
      </c>
      <c r="G402" s="23" t="n">
        <v>64</v>
      </c>
      <c r="H402" s="23" t="n">
        <v>1500</v>
      </c>
      <c r="I402" s="23" t="n">
        <v>4</v>
      </c>
      <c r="J402" s="23" t="n">
        <v>5</v>
      </c>
      <c r="K402" s="22" t="s">
        <v>73</v>
      </c>
      <c r="L402" s="22" t="s">
        <v>74</v>
      </c>
      <c r="M402" s="23"/>
      <c r="N402" s="27" t="str">
        <f aca="false">IF(F402=_xlfn.MINIFS($F$2:$F$948,$A$2:$A$948,$A402,$B$2:$B$948,$B402),"BEST","")</f>
        <v/>
      </c>
    </row>
    <row r="403" customFormat="false" ht="15" hidden="false" customHeight="false" outlineLevel="0" collapsed="false">
      <c r="A403" s="22" t="s">
        <v>50</v>
      </c>
      <c r="B403" s="23" t="n">
        <v>4</v>
      </c>
      <c r="C403" s="23" t="s">
        <v>71</v>
      </c>
      <c r="D403" s="22" t="s">
        <v>72</v>
      </c>
      <c r="E403" s="23" t="n">
        <v>4</v>
      </c>
      <c r="F403" s="28" t="n">
        <v>0.0107314230403509</v>
      </c>
      <c r="G403" s="23" t="n">
        <v>64</v>
      </c>
      <c r="H403" s="23" t="n">
        <v>1500</v>
      </c>
      <c r="I403" s="23" t="n">
        <v>4</v>
      </c>
      <c r="J403" s="23" t="n">
        <v>5</v>
      </c>
      <c r="K403" s="22" t="s">
        <v>73</v>
      </c>
      <c r="L403" s="22" t="s">
        <v>74</v>
      </c>
      <c r="M403" s="23"/>
      <c r="N403" s="27" t="str">
        <f aca="false">IF(F403=_xlfn.MINIFS($F$2:$F$948,$A$2:$A$948,$A403,$B$2:$B$948,$B403),"BEST","")</f>
        <v/>
      </c>
    </row>
    <row r="404" customFormat="false" ht="15" hidden="false" customHeight="false" outlineLevel="0" collapsed="false">
      <c r="A404" s="22" t="s">
        <v>50</v>
      </c>
      <c r="B404" s="23" t="n">
        <v>4</v>
      </c>
      <c r="C404" s="23" t="s">
        <v>71</v>
      </c>
      <c r="D404" s="22" t="s">
        <v>72</v>
      </c>
      <c r="E404" s="23" t="n">
        <v>5</v>
      </c>
      <c r="F404" s="28" t="n">
        <v>0.0139668624198374</v>
      </c>
      <c r="G404" s="23" t="n">
        <v>64</v>
      </c>
      <c r="H404" s="23" t="n">
        <v>1500</v>
      </c>
      <c r="I404" s="23" t="n">
        <v>4</v>
      </c>
      <c r="J404" s="23" t="n">
        <v>5</v>
      </c>
      <c r="K404" s="22" t="s">
        <v>73</v>
      </c>
      <c r="L404" s="22" t="s">
        <v>74</v>
      </c>
      <c r="M404" s="23"/>
      <c r="N404" s="27" t="str">
        <f aca="false">IF(F404=_xlfn.MINIFS($F$2:$F$948,$A$2:$A$948,$A404,$B$2:$B$948,$B404),"BEST","")</f>
        <v/>
      </c>
    </row>
    <row r="405" customFormat="false" ht="15" hidden="false" customHeight="false" outlineLevel="0" collapsed="false">
      <c r="A405" s="22" t="s">
        <v>50</v>
      </c>
      <c r="B405" s="23" t="n">
        <v>4</v>
      </c>
      <c r="C405" s="23" t="s">
        <v>71</v>
      </c>
      <c r="D405" s="22" t="s">
        <v>72</v>
      </c>
      <c r="E405" s="23" t="n">
        <v>6</v>
      </c>
      <c r="F405" s="28" t="n">
        <v>0.0221934670858327</v>
      </c>
      <c r="G405" s="23" t="n">
        <v>64</v>
      </c>
      <c r="H405" s="23" t="n">
        <v>1500</v>
      </c>
      <c r="I405" s="23" t="n">
        <v>4</v>
      </c>
      <c r="J405" s="23" t="n">
        <v>5</v>
      </c>
      <c r="K405" s="22" t="s">
        <v>73</v>
      </c>
      <c r="L405" s="22" t="s">
        <v>74</v>
      </c>
      <c r="M405" s="23"/>
      <c r="N405" s="27" t="str">
        <f aca="false">IF(F405=_xlfn.MINIFS($F$2:$F$948,$A$2:$A$948,$A405,$B$2:$B$948,$B405),"BEST","")</f>
        <v/>
      </c>
    </row>
    <row r="406" customFormat="false" ht="15" hidden="false" customHeight="false" outlineLevel="0" collapsed="false">
      <c r="A406" s="22" t="s">
        <v>50</v>
      </c>
      <c r="B406" s="23" t="n">
        <v>4</v>
      </c>
      <c r="C406" s="23" t="s">
        <v>71</v>
      </c>
      <c r="D406" s="22" t="s">
        <v>72</v>
      </c>
      <c r="E406" s="23" t="n">
        <v>7</v>
      </c>
      <c r="F406" s="28" t="n">
        <v>0.0155852737880963</v>
      </c>
      <c r="G406" s="23" t="n">
        <v>64</v>
      </c>
      <c r="H406" s="23" t="n">
        <v>1500</v>
      </c>
      <c r="I406" s="23" t="n">
        <v>4</v>
      </c>
      <c r="J406" s="23" t="n">
        <v>5</v>
      </c>
      <c r="K406" s="22" t="s">
        <v>73</v>
      </c>
      <c r="L406" s="22" t="s">
        <v>74</v>
      </c>
      <c r="M406" s="23"/>
      <c r="N406" s="27" t="str">
        <f aca="false">IF(F406=_xlfn.MINIFS($F$2:$F$948,$A$2:$A$948,$A406,$B$2:$B$948,$B406),"BEST","")</f>
        <v/>
      </c>
    </row>
    <row r="407" customFormat="false" ht="15" hidden="false" customHeight="false" outlineLevel="0" collapsed="false">
      <c r="A407" s="22" t="s">
        <v>50</v>
      </c>
      <c r="B407" s="23" t="n">
        <v>4</v>
      </c>
      <c r="C407" s="23" t="s">
        <v>71</v>
      </c>
      <c r="D407" s="22" t="s">
        <v>72</v>
      </c>
      <c r="E407" s="23" t="n">
        <v>8</v>
      </c>
      <c r="F407" s="28" t="n">
        <v>0.0130222359320228</v>
      </c>
      <c r="G407" s="23" t="n">
        <v>64</v>
      </c>
      <c r="H407" s="23" t="n">
        <v>1500</v>
      </c>
      <c r="I407" s="23" t="n">
        <v>4</v>
      </c>
      <c r="J407" s="23" t="n">
        <v>5</v>
      </c>
      <c r="K407" s="22" t="s">
        <v>73</v>
      </c>
      <c r="L407" s="22" t="s">
        <v>74</v>
      </c>
      <c r="M407" s="23"/>
      <c r="N407" s="27" t="str">
        <f aca="false">IF(F407=_xlfn.MINIFS($F$2:$F$948,$A$2:$A$948,$A407,$B$2:$B$948,$B407),"BEST","")</f>
        <v/>
      </c>
    </row>
    <row r="408" customFormat="false" ht="15" hidden="false" customHeight="false" outlineLevel="0" collapsed="false">
      <c r="A408" s="22" t="s">
        <v>50</v>
      </c>
      <c r="B408" s="23" t="n">
        <v>4</v>
      </c>
      <c r="C408" s="23" t="s">
        <v>71</v>
      </c>
      <c r="D408" s="22" t="s">
        <v>72</v>
      </c>
      <c r="E408" s="23" t="n">
        <v>9</v>
      </c>
      <c r="F408" s="28" t="n">
        <v>0.0115464263913456</v>
      </c>
      <c r="G408" s="23" t="n">
        <v>64</v>
      </c>
      <c r="H408" s="23" t="n">
        <v>1500</v>
      </c>
      <c r="I408" s="23" t="n">
        <v>4</v>
      </c>
      <c r="J408" s="23" t="n">
        <v>5</v>
      </c>
      <c r="K408" s="22" t="s">
        <v>73</v>
      </c>
      <c r="L408" s="22" t="s">
        <v>74</v>
      </c>
      <c r="M408" s="23"/>
      <c r="N408" s="27" t="str">
        <f aca="false">IF(F408=_xlfn.MINIFS($F$2:$F$948,$A$2:$A$948,$A408,$B$2:$B$948,$B408),"BEST","")</f>
        <v/>
      </c>
    </row>
    <row r="409" customFormat="false" ht="15" hidden="false" customHeight="false" outlineLevel="0" collapsed="false">
      <c r="A409" s="16" t="s">
        <v>50</v>
      </c>
      <c r="B409" s="17" t="n">
        <v>6</v>
      </c>
      <c r="C409" s="17" t="s">
        <v>67</v>
      </c>
      <c r="D409" s="16" t="s">
        <v>68</v>
      </c>
      <c r="E409" s="17" t="n">
        <v>0</v>
      </c>
      <c r="F409" s="26" t="n">
        <v>0.00128753393163524</v>
      </c>
      <c r="G409" s="17" t="n">
        <v>96</v>
      </c>
      <c r="H409" s="17" t="n">
        <v>1500</v>
      </c>
      <c r="I409" s="17"/>
      <c r="J409" s="17" t="n">
        <v>5</v>
      </c>
      <c r="K409" s="17"/>
      <c r="L409" s="17"/>
      <c r="M409" s="17"/>
      <c r="N409" s="27" t="str">
        <f aca="false">IF(F409=_xlfn.MINIFS($F$2:$F$948,$A$2:$A$948,$A409,$B$2:$B$948,$B409),"BEST","")</f>
        <v/>
      </c>
    </row>
    <row r="410" customFormat="false" ht="15" hidden="false" customHeight="false" outlineLevel="0" collapsed="false">
      <c r="A410" s="16" t="s">
        <v>50</v>
      </c>
      <c r="B410" s="17" t="n">
        <v>6</v>
      </c>
      <c r="C410" s="17" t="s">
        <v>67</v>
      </c>
      <c r="D410" s="16" t="s">
        <v>68</v>
      </c>
      <c r="E410" s="17" t="n">
        <v>1</v>
      </c>
      <c r="F410" s="26" t="n">
        <v>0.00114568057112532</v>
      </c>
      <c r="G410" s="17" t="n">
        <v>96</v>
      </c>
      <c r="H410" s="17" t="n">
        <v>1500</v>
      </c>
      <c r="I410" s="17"/>
      <c r="J410" s="17" t="n">
        <v>5</v>
      </c>
      <c r="K410" s="17"/>
      <c r="L410" s="17"/>
      <c r="M410" s="17"/>
      <c r="N410" s="27" t="str">
        <f aca="false">IF(F410=_xlfn.MINIFS($F$2:$F$948,$A$2:$A$948,$A410,$B$2:$B$948,$B410),"BEST","")</f>
        <v/>
      </c>
    </row>
    <row r="411" customFormat="false" ht="15" hidden="false" customHeight="false" outlineLevel="0" collapsed="false">
      <c r="A411" s="16" t="s">
        <v>50</v>
      </c>
      <c r="B411" s="17" t="n">
        <v>6</v>
      </c>
      <c r="C411" s="17" t="s">
        <v>67</v>
      </c>
      <c r="D411" s="16" t="s">
        <v>68</v>
      </c>
      <c r="E411" s="17" t="n">
        <v>2</v>
      </c>
      <c r="F411" s="26" t="n">
        <v>0.00194634600680998</v>
      </c>
      <c r="G411" s="17" t="n">
        <v>96</v>
      </c>
      <c r="H411" s="17" t="n">
        <v>1500</v>
      </c>
      <c r="I411" s="17"/>
      <c r="J411" s="17" t="n">
        <v>5</v>
      </c>
      <c r="K411" s="17"/>
      <c r="L411" s="17"/>
      <c r="M411" s="17"/>
      <c r="N411" s="27" t="str">
        <f aca="false">IF(F411=_xlfn.MINIFS($F$2:$F$948,$A$2:$A$948,$A411,$B$2:$B$948,$B411),"BEST","")</f>
        <v/>
      </c>
    </row>
    <row r="412" customFormat="false" ht="15" hidden="false" customHeight="false" outlineLevel="0" collapsed="false">
      <c r="A412" s="16" t="s">
        <v>50</v>
      </c>
      <c r="B412" s="17" t="n">
        <v>6</v>
      </c>
      <c r="C412" s="17" t="s">
        <v>67</v>
      </c>
      <c r="D412" s="16" t="s">
        <v>68</v>
      </c>
      <c r="E412" s="17" t="n">
        <v>3</v>
      </c>
      <c r="F412" s="26" t="n">
        <v>0.00178229181647245</v>
      </c>
      <c r="G412" s="17" t="n">
        <v>96</v>
      </c>
      <c r="H412" s="17" t="n">
        <v>1500</v>
      </c>
      <c r="I412" s="17"/>
      <c r="J412" s="17" t="n">
        <v>5</v>
      </c>
      <c r="K412" s="17"/>
      <c r="L412" s="17"/>
      <c r="M412" s="17"/>
      <c r="N412" s="27" t="str">
        <f aca="false">IF(F412=_xlfn.MINIFS($F$2:$F$948,$A$2:$A$948,$A412,$B$2:$B$948,$B412),"BEST","")</f>
        <v/>
      </c>
    </row>
    <row r="413" customFormat="false" ht="15" hidden="false" customHeight="false" outlineLevel="0" collapsed="false">
      <c r="A413" s="16" t="s">
        <v>50</v>
      </c>
      <c r="B413" s="17" t="n">
        <v>6</v>
      </c>
      <c r="C413" s="17" t="s">
        <v>67</v>
      </c>
      <c r="D413" s="16" t="s">
        <v>68</v>
      </c>
      <c r="E413" s="17" t="n">
        <v>4</v>
      </c>
      <c r="F413" s="26" t="n">
        <v>0.00174459970422134</v>
      </c>
      <c r="G413" s="17" t="n">
        <v>96</v>
      </c>
      <c r="H413" s="17" t="n">
        <v>1500</v>
      </c>
      <c r="I413" s="17"/>
      <c r="J413" s="17" t="n">
        <v>5</v>
      </c>
      <c r="K413" s="17"/>
      <c r="L413" s="17"/>
      <c r="M413" s="17"/>
      <c r="N413" s="27" t="str">
        <f aca="false">IF(F413=_xlfn.MINIFS($F$2:$F$948,$A$2:$A$948,$A413,$B$2:$B$948,$B413),"BEST","")</f>
        <v/>
      </c>
    </row>
    <row r="414" customFormat="false" ht="15" hidden="false" customHeight="false" outlineLevel="0" collapsed="false">
      <c r="A414" s="16" t="s">
        <v>50</v>
      </c>
      <c r="B414" s="17" t="n">
        <v>6</v>
      </c>
      <c r="C414" s="17" t="s">
        <v>67</v>
      </c>
      <c r="D414" s="16" t="s">
        <v>68</v>
      </c>
      <c r="E414" s="17" t="n">
        <v>5</v>
      </c>
      <c r="F414" s="26" t="n">
        <v>0.00156940227811264</v>
      </c>
      <c r="G414" s="17" t="n">
        <v>96</v>
      </c>
      <c r="H414" s="17" t="n">
        <v>1500</v>
      </c>
      <c r="I414" s="17"/>
      <c r="J414" s="17" t="n">
        <v>5</v>
      </c>
      <c r="K414" s="17"/>
      <c r="L414" s="17"/>
      <c r="M414" s="17"/>
      <c r="N414" s="27" t="str">
        <f aca="false">IF(F414=_xlfn.MINIFS($F$2:$F$948,$A$2:$A$948,$A414,$B$2:$B$948,$B414),"BEST","")</f>
        <v/>
      </c>
    </row>
    <row r="415" customFormat="false" ht="15" hidden="false" customHeight="false" outlineLevel="0" collapsed="false">
      <c r="A415" s="16" t="s">
        <v>50</v>
      </c>
      <c r="B415" s="17" t="n">
        <v>6</v>
      </c>
      <c r="C415" s="17" t="s">
        <v>67</v>
      </c>
      <c r="D415" s="16" t="s">
        <v>68</v>
      </c>
      <c r="E415" s="17" t="n">
        <v>6</v>
      </c>
      <c r="F415" s="26" t="n">
        <v>0.00156262318419899</v>
      </c>
      <c r="G415" s="17" t="n">
        <v>96</v>
      </c>
      <c r="H415" s="17" t="n">
        <v>1500</v>
      </c>
      <c r="I415" s="17"/>
      <c r="J415" s="17" t="n">
        <v>5</v>
      </c>
      <c r="K415" s="17"/>
      <c r="L415" s="17"/>
      <c r="M415" s="17"/>
      <c r="N415" s="27" t="str">
        <f aca="false">IF(F415=_xlfn.MINIFS($F$2:$F$948,$A$2:$A$948,$A415,$B$2:$B$948,$B415),"BEST","")</f>
        <v/>
      </c>
    </row>
    <row r="416" customFormat="false" ht="15" hidden="false" customHeight="false" outlineLevel="0" collapsed="false">
      <c r="A416" s="16" t="s">
        <v>50</v>
      </c>
      <c r="B416" s="17" t="n">
        <v>6</v>
      </c>
      <c r="C416" s="17" t="s">
        <v>67</v>
      </c>
      <c r="D416" s="16" t="s">
        <v>68</v>
      </c>
      <c r="E416" s="17" t="n">
        <v>7</v>
      </c>
      <c r="F416" s="26" t="n">
        <v>0.00153498615392712</v>
      </c>
      <c r="G416" s="17" t="n">
        <v>96</v>
      </c>
      <c r="H416" s="17" t="n">
        <v>1500</v>
      </c>
      <c r="I416" s="17"/>
      <c r="J416" s="17" t="n">
        <v>5</v>
      </c>
      <c r="K416" s="17"/>
      <c r="L416" s="17"/>
      <c r="M416" s="17"/>
      <c r="N416" s="27" t="str">
        <f aca="false">IF(F416=_xlfn.MINIFS($F$2:$F$948,$A$2:$A$948,$A416,$B$2:$B$948,$B416),"BEST","")</f>
        <v/>
      </c>
    </row>
    <row r="417" customFormat="false" ht="15" hidden="false" customHeight="false" outlineLevel="0" collapsed="false">
      <c r="A417" s="16" t="s">
        <v>50</v>
      </c>
      <c r="B417" s="17" t="n">
        <v>6</v>
      </c>
      <c r="C417" s="17" t="s">
        <v>67</v>
      </c>
      <c r="D417" s="16" t="s">
        <v>68</v>
      </c>
      <c r="E417" s="17" t="n">
        <v>8</v>
      </c>
      <c r="F417" s="26" t="n">
        <v>0.0012929762982264</v>
      </c>
      <c r="G417" s="17" t="n">
        <v>96</v>
      </c>
      <c r="H417" s="17" t="n">
        <v>1500</v>
      </c>
      <c r="I417" s="17"/>
      <c r="J417" s="17" t="n">
        <v>5</v>
      </c>
      <c r="K417" s="17"/>
      <c r="L417" s="17"/>
      <c r="M417" s="17"/>
      <c r="N417" s="27" t="str">
        <f aca="false">IF(F417=_xlfn.MINIFS($F$2:$F$948,$A$2:$A$948,$A417,$B$2:$B$948,$B417),"BEST","")</f>
        <v/>
      </c>
    </row>
    <row r="418" customFormat="false" ht="15" hidden="false" customHeight="false" outlineLevel="0" collapsed="false">
      <c r="A418" s="16" t="s">
        <v>50</v>
      </c>
      <c r="B418" s="17" t="n">
        <v>6</v>
      </c>
      <c r="C418" s="17" t="s">
        <v>67</v>
      </c>
      <c r="D418" s="16" t="s">
        <v>68</v>
      </c>
      <c r="E418" s="17" t="n">
        <v>9</v>
      </c>
      <c r="F418" s="26" t="n">
        <v>0.00179004118989374</v>
      </c>
      <c r="G418" s="17" t="n">
        <v>96</v>
      </c>
      <c r="H418" s="17" t="n">
        <v>1500</v>
      </c>
      <c r="I418" s="17"/>
      <c r="J418" s="17" t="n">
        <v>5</v>
      </c>
      <c r="K418" s="17"/>
      <c r="L418" s="17"/>
      <c r="M418" s="17"/>
      <c r="N418" s="27" t="str">
        <f aca="false">IF(F418=_xlfn.MINIFS($F$2:$F$948,$A$2:$A$948,$A418,$B$2:$B$948,$B418),"BEST","")</f>
        <v/>
      </c>
    </row>
    <row r="419" customFormat="false" ht="15" hidden="false" customHeight="false" outlineLevel="0" collapsed="false">
      <c r="A419" s="16" t="s">
        <v>50</v>
      </c>
      <c r="B419" s="17" t="n">
        <v>6</v>
      </c>
      <c r="C419" s="17" t="s">
        <v>67</v>
      </c>
      <c r="D419" s="16" t="s">
        <v>68</v>
      </c>
      <c r="E419" s="17" t="n">
        <v>10</v>
      </c>
      <c r="F419" s="26" t="n">
        <v>0.00167360508819736</v>
      </c>
      <c r="G419" s="17" t="n">
        <v>96</v>
      </c>
      <c r="H419" s="17" t="n">
        <v>1500</v>
      </c>
      <c r="I419" s="17"/>
      <c r="J419" s="17" t="n">
        <v>5</v>
      </c>
      <c r="K419" s="17"/>
      <c r="L419" s="17"/>
      <c r="M419" s="17"/>
      <c r="N419" s="27" t="str">
        <f aca="false">IF(F419=_xlfn.MINIFS($F$2:$F$948,$A$2:$A$948,$A419,$B$2:$B$948,$B419),"BEST","")</f>
        <v/>
      </c>
    </row>
    <row r="420" customFormat="false" ht="15" hidden="false" customHeight="false" outlineLevel="0" collapsed="false">
      <c r="A420" s="16" t="s">
        <v>50</v>
      </c>
      <c r="B420" s="17" t="n">
        <v>6</v>
      </c>
      <c r="C420" s="17" t="s">
        <v>67</v>
      </c>
      <c r="D420" s="16" t="s">
        <v>68</v>
      </c>
      <c r="E420" s="17" t="n">
        <v>11</v>
      </c>
      <c r="F420" s="26" t="n">
        <v>0.00149830660854959</v>
      </c>
      <c r="G420" s="17" t="n">
        <v>96</v>
      </c>
      <c r="H420" s="17" t="n">
        <v>1500</v>
      </c>
      <c r="I420" s="17"/>
      <c r="J420" s="17" t="n">
        <v>5</v>
      </c>
      <c r="K420" s="17"/>
      <c r="L420" s="17"/>
      <c r="M420" s="17"/>
      <c r="N420" s="27" t="str">
        <f aca="false">IF(F420=_xlfn.MINIFS($F$2:$F$948,$A$2:$A$948,$A420,$B$2:$B$948,$B420),"BEST","")</f>
        <v/>
      </c>
    </row>
    <row r="421" customFormat="false" ht="15" hidden="false" customHeight="false" outlineLevel="0" collapsed="false">
      <c r="A421" s="16" t="s">
        <v>50</v>
      </c>
      <c r="B421" s="17" t="n">
        <v>6</v>
      </c>
      <c r="C421" s="17" t="s">
        <v>67</v>
      </c>
      <c r="D421" s="16" t="s">
        <v>68</v>
      </c>
      <c r="E421" s="17" t="n">
        <v>12</v>
      </c>
      <c r="F421" s="26" t="n">
        <v>0.00153746652859982</v>
      </c>
      <c r="G421" s="17" t="n">
        <v>96</v>
      </c>
      <c r="H421" s="17" t="n">
        <v>1500</v>
      </c>
      <c r="I421" s="17"/>
      <c r="J421" s="17" t="n">
        <v>5</v>
      </c>
      <c r="K421" s="17"/>
      <c r="L421" s="17"/>
      <c r="M421" s="17"/>
      <c r="N421" s="27" t="str">
        <f aca="false">IF(F421=_xlfn.MINIFS($F$2:$F$948,$A$2:$A$948,$A421,$B$2:$B$948,$B421),"BEST","")</f>
        <v/>
      </c>
    </row>
    <row r="422" customFormat="false" ht="15" hidden="false" customHeight="false" outlineLevel="0" collapsed="false">
      <c r="A422" s="16" t="s">
        <v>50</v>
      </c>
      <c r="B422" s="17" t="n">
        <v>6</v>
      </c>
      <c r="C422" s="17" t="s">
        <v>67</v>
      </c>
      <c r="D422" s="16" t="s">
        <v>68</v>
      </c>
      <c r="E422" s="17" t="n">
        <v>13</v>
      </c>
      <c r="F422" s="26" t="n">
        <v>0.00166363121625198</v>
      </c>
      <c r="G422" s="17" t="n">
        <v>96</v>
      </c>
      <c r="H422" s="17" t="n">
        <v>1500</v>
      </c>
      <c r="I422" s="17"/>
      <c r="J422" s="17" t="n">
        <v>5</v>
      </c>
      <c r="K422" s="17"/>
      <c r="L422" s="17"/>
      <c r="M422" s="17"/>
      <c r="N422" s="27" t="str">
        <f aca="false">IF(F422=_xlfn.MINIFS($F$2:$F$948,$A$2:$A$948,$A422,$B$2:$B$948,$B422),"BEST","")</f>
        <v/>
      </c>
    </row>
    <row r="423" customFormat="false" ht="15" hidden="false" customHeight="false" outlineLevel="0" collapsed="false">
      <c r="A423" s="16" t="s">
        <v>50</v>
      </c>
      <c r="B423" s="17" t="n">
        <v>6</v>
      </c>
      <c r="C423" s="17" t="s">
        <v>67</v>
      </c>
      <c r="D423" s="16" t="s">
        <v>68</v>
      </c>
      <c r="E423" s="17" t="n">
        <v>14</v>
      </c>
      <c r="F423" s="26" t="n">
        <v>0.00113738919213517</v>
      </c>
      <c r="G423" s="17" t="n">
        <v>96</v>
      </c>
      <c r="H423" s="17" t="n">
        <v>1500</v>
      </c>
      <c r="I423" s="17"/>
      <c r="J423" s="17" t="n">
        <v>5</v>
      </c>
      <c r="K423" s="17"/>
      <c r="L423" s="17"/>
      <c r="M423" s="17"/>
      <c r="N423" s="27" t="str">
        <f aca="false">IF(F423=_xlfn.MINIFS($F$2:$F$948,$A$2:$A$948,$A423,$B$2:$B$948,$B423),"BEST","")</f>
        <v>BEST</v>
      </c>
    </row>
    <row r="424" customFormat="false" ht="15" hidden="false" customHeight="false" outlineLevel="0" collapsed="false">
      <c r="A424" s="16" t="s">
        <v>50</v>
      </c>
      <c r="B424" s="17" t="n">
        <v>6</v>
      </c>
      <c r="C424" s="17" t="s">
        <v>67</v>
      </c>
      <c r="D424" s="16" t="s">
        <v>68</v>
      </c>
      <c r="E424" s="17" t="n">
        <v>15</v>
      </c>
      <c r="F424" s="26" t="n">
        <v>0.00128414428310154</v>
      </c>
      <c r="G424" s="17" t="n">
        <v>96</v>
      </c>
      <c r="H424" s="17" t="n">
        <v>1500</v>
      </c>
      <c r="I424" s="17"/>
      <c r="J424" s="17" t="n">
        <v>5</v>
      </c>
      <c r="K424" s="17"/>
      <c r="L424" s="17"/>
      <c r="M424" s="17"/>
      <c r="N424" s="27" t="str">
        <f aca="false">IF(F424=_xlfn.MINIFS($F$2:$F$948,$A$2:$A$948,$A424,$B$2:$B$948,$B424),"BEST","")</f>
        <v/>
      </c>
    </row>
    <row r="425" customFormat="false" ht="15" hidden="false" customHeight="false" outlineLevel="0" collapsed="false">
      <c r="A425" s="16" t="s">
        <v>50</v>
      </c>
      <c r="B425" s="17" t="n">
        <v>6</v>
      </c>
      <c r="C425" s="17" t="s">
        <v>67</v>
      </c>
      <c r="D425" s="16" t="s">
        <v>68</v>
      </c>
      <c r="E425" s="17" t="n">
        <v>16</v>
      </c>
      <c r="F425" s="26" t="n">
        <v>0.00121892727781539</v>
      </c>
      <c r="G425" s="17" t="n">
        <v>96</v>
      </c>
      <c r="H425" s="17" t="n">
        <v>1500</v>
      </c>
      <c r="I425" s="17"/>
      <c r="J425" s="17" t="n">
        <v>5</v>
      </c>
      <c r="K425" s="17"/>
      <c r="L425" s="17"/>
      <c r="M425" s="17"/>
      <c r="N425" s="27" t="str">
        <f aca="false">IF(F425=_xlfn.MINIFS($F$2:$F$948,$A$2:$A$948,$A425,$B$2:$B$948,$B425),"BEST","")</f>
        <v/>
      </c>
    </row>
    <row r="426" customFormat="false" ht="15" hidden="false" customHeight="false" outlineLevel="0" collapsed="false">
      <c r="A426" s="16" t="s">
        <v>50</v>
      </c>
      <c r="B426" s="17" t="n">
        <v>6</v>
      </c>
      <c r="C426" s="17" t="s">
        <v>67</v>
      </c>
      <c r="D426" s="16" t="s">
        <v>68</v>
      </c>
      <c r="E426" s="17" t="n">
        <v>17</v>
      </c>
      <c r="F426" s="26" t="n">
        <v>0.00158629685195626</v>
      </c>
      <c r="G426" s="17" t="n">
        <v>96</v>
      </c>
      <c r="H426" s="17" t="n">
        <v>1500</v>
      </c>
      <c r="I426" s="17"/>
      <c r="J426" s="17" t="n">
        <v>5</v>
      </c>
      <c r="K426" s="17"/>
      <c r="L426" s="17"/>
      <c r="M426" s="17"/>
      <c r="N426" s="27" t="str">
        <f aca="false">IF(F426=_xlfn.MINIFS($F$2:$F$948,$A$2:$A$948,$A426,$B$2:$B$948,$B426),"BEST","")</f>
        <v/>
      </c>
    </row>
    <row r="427" customFormat="false" ht="15" hidden="false" customHeight="false" outlineLevel="0" collapsed="false">
      <c r="A427" s="16" t="s">
        <v>50</v>
      </c>
      <c r="B427" s="17" t="n">
        <v>6</v>
      </c>
      <c r="C427" s="17" t="s">
        <v>67</v>
      </c>
      <c r="D427" s="16" t="s">
        <v>68</v>
      </c>
      <c r="E427" s="17" t="n">
        <v>18</v>
      </c>
      <c r="F427" s="26" t="n">
        <v>0.00149109575954586</v>
      </c>
      <c r="G427" s="17" t="n">
        <v>96</v>
      </c>
      <c r="H427" s="17" t="n">
        <v>1500</v>
      </c>
      <c r="I427" s="17"/>
      <c r="J427" s="17" t="n">
        <v>5</v>
      </c>
      <c r="K427" s="17"/>
      <c r="L427" s="17"/>
      <c r="M427" s="17"/>
      <c r="N427" s="27" t="str">
        <f aca="false">IF(F427=_xlfn.MINIFS($F$2:$F$948,$A$2:$A$948,$A427,$B$2:$B$948,$B427),"BEST","")</f>
        <v/>
      </c>
    </row>
    <row r="428" customFormat="false" ht="15" hidden="false" customHeight="false" outlineLevel="0" collapsed="false">
      <c r="A428" s="16" t="s">
        <v>50</v>
      </c>
      <c r="B428" s="17" t="n">
        <v>6</v>
      </c>
      <c r="C428" s="17" t="s">
        <v>67</v>
      </c>
      <c r="D428" s="16" t="s">
        <v>68</v>
      </c>
      <c r="E428" s="17" t="n">
        <v>19</v>
      </c>
      <c r="F428" s="26" t="n">
        <v>0.00143154497927467</v>
      </c>
      <c r="G428" s="17" t="n">
        <v>96</v>
      </c>
      <c r="H428" s="17" t="n">
        <v>1500</v>
      </c>
      <c r="I428" s="17"/>
      <c r="J428" s="17" t="n">
        <v>5</v>
      </c>
      <c r="K428" s="17"/>
      <c r="L428" s="17"/>
      <c r="M428" s="17"/>
      <c r="N428" s="27" t="str">
        <f aca="false">IF(F428=_xlfn.MINIFS($F$2:$F$948,$A$2:$A$948,$A428,$B$2:$B$948,$B428),"BEST","")</f>
        <v/>
      </c>
    </row>
    <row r="429" customFormat="false" ht="15" hidden="false" customHeight="false" outlineLevel="0" collapsed="false">
      <c r="A429" s="16" t="s">
        <v>50</v>
      </c>
      <c r="B429" s="17" t="n">
        <v>6</v>
      </c>
      <c r="C429" s="17" t="s">
        <v>69</v>
      </c>
      <c r="D429" s="16" t="s">
        <v>68</v>
      </c>
      <c r="E429" s="17" t="n">
        <v>0</v>
      </c>
      <c r="F429" s="26" t="n">
        <v>0.11796193532154</v>
      </c>
      <c r="G429" s="17" t="n">
        <v>96</v>
      </c>
      <c r="H429" s="17" t="n">
        <v>1500</v>
      </c>
      <c r="I429" s="17"/>
      <c r="J429" s="17" t="n">
        <v>5</v>
      </c>
      <c r="K429" s="17"/>
      <c r="L429" s="17"/>
      <c r="M429" s="17"/>
      <c r="N429" s="27" t="str">
        <f aca="false">IF(F429=_xlfn.MINIFS($F$2:$F$948,$A$2:$A$948,$A429,$B$2:$B$948,$B429),"BEST","")</f>
        <v/>
      </c>
    </row>
    <row r="430" customFormat="false" ht="15" hidden="false" customHeight="false" outlineLevel="0" collapsed="false">
      <c r="A430" s="16" t="s">
        <v>50</v>
      </c>
      <c r="B430" s="17" t="n">
        <v>6</v>
      </c>
      <c r="C430" s="17" t="s">
        <v>69</v>
      </c>
      <c r="D430" s="16" t="s">
        <v>68</v>
      </c>
      <c r="E430" s="17" t="n">
        <v>1</v>
      </c>
      <c r="F430" s="26" t="n">
        <v>0.0817396968664302</v>
      </c>
      <c r="G430" s="17" t="n">
        <v>96</v>
      </c>
      <c r="H430" s="17" t="n">
        <v>1500</v>
      </c>
      <c r="I430" s="17"/>
      <c r="J430" s="17" t="n">
        <v>5</v>
      </c>
      <c r="K430" s="17"/>
      <c r="L430" s="17"/>
      <c r="M430" s="17"/>
      <c r="N430" s="27" t="str">
        <f aca="false">IF(F430=_xlfn.MINIFS($F$2:$F$948,$A$2:$A$948,$A430,$B$2:$B$948,$B430),"BEST","")</f>
        <v/>
      </c>
    </row>
    <row r="431" customFormat="false" ht="15" hidden="false" customHeight="false" outlineLevel="0" collapsed="false">
      <c r="A431" s="16" t="s">
        <v>50</v>
      </c>
      <c r="B431" s="17" t="n">
        <v>6</v>
      </c>
      <c r="C431" s="17" t="s">
        <v>69</v>
      </c>
      <c r="D431" s="16" t="s">
        <v>68</v>
      </c>
      <c r="E431" s="17" t="n">
        <v>2</v>
      </c>
      <c r="F431" s="26" t="n">
        <v>0.117751265229036</v>
      </c>
      <c r="G431" s="17" t="n">
        <v>96</v>
      </c>
      <c r="H431" s="17" t="n">
        <v>1500</v>
      </c>
      <c r="I431" s="17"/>
      <c r="J431" s="17" t="n">
        <v>5</v>
      </c>
      <c r="K431" s="17"/>
      <c r="L431" s="17"/>
      <c r="M431" s="17"/>
      <c r="N431" s="27" t="str">
        <f aca="false">IF(F431=_xlfn.MINIFS($F$2:$F$948,$A$2:$A$948,$A431,$B$2:$B$948,$B431),"BEST","")</f>
        <v/>
      </c>
    </row>
    <row r="432" customFormat="false" ht="15" hidden="false" customHeight="false" outlineLevel="0" collapsed="false">
      <c r="A432" s="16" t="s">
        <v>50</v>
      </c>
      <c r="B432" s="17" t="n">
        <v>6</v>
      </c>
      <c r="C432" s="17" t="s">
        <v>69</v>
      </c>
      <c r="D432" s="16" t="s">
        <v>68</v>
      </c>
      <c r="E432" s="17" t="n">
        <v>3</v>
      </c>
      <c r="F432" s="26" t="n">
        <v>0.0743503759106338</v>
      </c>
      <c r="G432" s="17" t="n">
        <v>96</v>
      </c>
      <c r="H432" s="17" t="n">
        <v>1500</v>
      </c>
      <c r="I432" s="17"/>
      <c r="J432" s="17" t="n">
        <v>5</v>
      </c>
      <c r="K432" s="17"/>
      <c r="L432" s="17"/>
      <c r="M432" s="17"/>
      <c r="N432" s="27" t="str">
        <f aca="false">IF(F432=_xlfn.MINIFS($F$2:$F$948,$A$2:$A$948,$A432,$B$2:$B$948,$B432),"BEST","")</f>
        <v/>
      </c>
    </row>
    <row r="433" customFormat="false" ht="15" hidden="false" customHeight="false" outlineLevel="0" collapsed="false">
      <c r="A433" s="16" t="s">
        <v>50</v>
      </c>
      <c r="B433" s="17" t="n">
        <v>6</v>
      </c>
      <c r="C433" s="17" t="s">
        <v>69</v>
      </c>
      <c r="D433" s="16" t="s">
        <v>68</v>
      </c>
      <c r="E433" s="17" t="n">
        <v>4</v>
      </c>
      <c r="F433" s="26" t="n">
        <v>0.099305597404527</v>
      </c>
      <c r="G433" s="17" t="n">
        <v>96</v>
      </c>
      <c r="H433" s="17" t="n">
        <v>1500</v>
      </c>
      <c r="I433" s="17"/>
      <c r="J433" s="17" t="n">
        <v>5</v>
      </c>
      <c r="K433" s="17"/>
      <c r="L433" s="17"/>
      <c r="M433" s="17"/>
      <c r="N433" s="27" t="str">
        <f aca="false">IF(F433=_xlfn.MINIFS($F$2:$F$948,$A$2:$A$948,$A433,$B$2:$B$948,$B433),"BEST","")</f>
        <v/>
      </c>
    </row>
    <row r="434" customFormat="false" ht="15" hidden="false" customHeight="false" outlineLevel="0" collapsed="false">
      <c r="A434" s="16" t="s">
        <v>50</v>
      </c>
      <c r="B434" s="17" t="n">
        <v>6</v>
      </c>
      <c r="C434" s="17" t="s">
        <v>69</v>
      </c>
      <c r="D434" s="16" t="s">
        <v>68</v>
      </c>
      <c r="E434" s="17" t="n">
        <v>5</v>
      </c>
      <c r="F434" s="26" t="n">
        <v>0.0855025882237368</v>
      </c>
      <c r="G434" s="17" t="n">
        <v>96</v>
      </c>
      <c r="H434" s="17" t="n">
        <v>1500</v>
      </c>
      <c r="I434" s="17"/>
      <c r="J434" s="17" t="n">
        <v>5</v>
      </c>
      <c r="K434" s="17"/>
      <c r="L434" s="17"/>
      <c r="M434" s="17"/>
      <c r="N434" s="27" t="str">
        <f aca="false">IF(F434=_xlfn.MINIFS($F$2:$F$948,$A$2:$A$948,$A434,$B$2:$B$948,$B434),"BEST","")</f>
        <v/>
      </c>
    </row>
    <row r="435" customFormat="false" ht="15" hidden="false" customHeight="false" outlineLevel="0" collapsed="false">
      <c r="A435" s="16" t="s">
        <v>50</v>
      </c>
      <c r="B435" s="17" t="n">
        <v>6</v>
      </c>
      <c r="C435" s="17" t="s">
        <v>69</v>
      </c>
      <c r="D435" s="16" t="s">
        <v>68</v>
      </c>
      <c r="E435" s="17" t="n">
        <v>6</v>
      </c>
      <c r="F435" s="26" t="n">
        <v>0.111244803854238</v>
      </c>
      <c r="G435" s="17" t="n">
        <v>96</v>
      </c>
      <c r="H435" s="17" t="n">
        <v>1500</v>
      </c>
      <c r="I435" s="17"/>
      <c r="J435" s="17" t="n">
        <v>5</v>
      </c>
      <c r="K435" s="17"/>
      <c r="L435" s="17"/>
      <c r="M435" s="17"/>
      <c r="N435" s="27" t="str">
        <f aca="false">IF(F435=_xlfn.MINIFS($F$2:$F$948,$A$2:$A$948,$A435,$B$2:$B$948,$B435),"BEST","")</f>
        <v/>
      </c>
    </row>
    <row r="436" customFormat="false" ht="15" hidden="false" customHeight="false" outlineLevel="0" collapsed="false">
      <c r="A436" s="16" t="s">
        <v>50</v>
      </c>
      <c r="B436" s="17" t="n">
        <v>6</v>
      </c>
      <c r="C436" s="17" t="s">
        <v>69</v>
      </c>
      <c r="D436" s="16" t="s">
        <v>68</v>
      </c>
      <c r="E436" s="17" t="n">
        <v>7</v>
      </c>
      <c r="F436" s="26" t="n">
        <v>0.0801666298017802</v>
      </c>
      <c r="G436" s="17" t="n">
        <v>96</v>
      </c>
      <c r="H436" s="17" t="n">
        <v>1500</v>
      </c>
      <c r="I436" s="17"/>
      <c r="J436" s="17" t="n">
        <v>5</v>
      </c>
      <c r="K436" s="17"/>
      <c r="L436" s="17"/>
      <c r="M436" s="17"/>
      <c r="N436" s="27" t="str">
        <f aca="false">IF(F436=_xlfn.MINIFS($F$2:$F$948,$A$2:$A$948,$A436,$B$2:$B$948,$B436),"BEST","")</f>
        <v/>
      </c>
    </row>
    <row r="437" customFormat="false" ht="15" hidden="false" customHeight="false" outlineLevel="0" collapsed="false">
      <c r="A437" s="16" t="s">
        <v>50</v>
      </c>
      <c r="B437" s="17" t="n">
        <v>6</v>
      </c>
      <c r="C437" s="17" t="s">
        <v>69</v>
      </c>
      <c r="D437" s="16" t="s">
        <v>68</v>
      </c>
      <c r="E437" s="17" t="n">
        <v>8</v>
      </c>
      <c r="F437" s="26" t="n">
        <v>0.0647803540150252</v>
      </c>
      <c r="G437" s="17" t="n">
        <v>96</v>
      </c>
      <c r="H437" s="17" t="n">
        <v>1500</v>
      </c>
      <c r="I437" s="17"/>
      <c r="J437" s="17" t="n">
        <v>5</v>
      </c>
      <c r="K437" s="17"/>
      <c r="L437" s="17"/>
      <c r="M437" s="17"/>
      <c r="N437" s="27" t="str">
        <f aca="false">IF(F437=_xlfn.MINIFS($F$2:$F$948,$A$2:$A$948,$A437,$B$2:$B$948,$B437),"BEST","")</f>
        <v/>
      </c>
    </row>
    <row r="438" customFormat="false" ht="15" hidden="false" customHeight="false" outlineLevel="0" collapsed="false">
      <c r="A438" s="16" t="s">
        <v>50</v>
      </c>
      <c r="B438" s="17" t="n">
        <v>6</v>
      </c>
      <c r="C438" s="17" t="s">
        <v>69</v>
      </c>
      <c r="D438" s="16" t="s">
        <v>68</v>
      </c>
      <c r="E438" s="17" t="n">
        <v>9</v>
      </c>
      <c r="F438" s="26" t="n">
        <v>0.0630700420007057</v>
      </c>
      <c r="G438" s="17" t="n">
        <v>96</v>
      </c>
      <c r="H438" s="17" t="n">
        <v>1500</v>
      </c>
      <c r="I438" s="17"/>
      <c r="J438" s="17" t="n">
        <v>5</v>
      </c>
      <c r="K438" s="17"/>
      <c r="L438" s="17"/>
      <c r="M438" s="17"/>
      <c r="N438" s="27" t="str">
        <f aca="false">IF(F438=_xlfn.MINIFS($F$2:$F$948,$A$2:$A$948,$A438,$B$2:$B$948,$B438),"BEST","")</f>
        <v/>
      </c>
    </row>
    <row r="439" customFormat="false" ht="15" hidden="false" customHeight="false" outlineLevel="0" collapsed="false">
      <c r="A439" s="16" t="s">
        <v>50</v>
      </c>
      <c r="B439" s="17" t="n">
        <v>6</v>
      </c>
      <c r="C439" s="17" t="s">
        <v>69</v>
      </c>
      <c r="D439" s="16" t="s">
        <v>68</v>
      </c>
      <c r="E439" s="17" t="n">
        <v>10</v>
      </c>
      <c r="F439" s="26" t="n">
        <v>0.0558690922508246</v>
      </c>
      <c r="G439" s="17" t="n">
        <v>96</v>
      </c>
      <c r="H439" s="17" t="n">
        <v>1500</v>
      </c>
      <c r="I439" s="17"/>
      <c r="J439" s="17" t="n">
        <v>5</v>
      </c>
      <c r="K439" s="17"/>
      <c r="L439" s="17"/>
      <c r="M439" s="17"/>
      <c r="N439" s="27" t="str">
        <f aca="false">IF(F439=_xlfn.MINIFS($F$2:$F$948,$A$2:$A$948,$A439,$B$2:$B$948,$B439),"BEST","")</f>
        <v/>
      </c>
    </row>
    <row r="440" customFormat="false" ht="15" hidden="false" customHeight="false" outlineLevel="0" collapsed="false">
      <c r="A440" s="16" t="s">
        <v>50</v>
      </c>
      <c r="B440" s="17" t="n">
        <v>6</v>
      </c>
      <c r="C440" s="17" t="s">
        <v>69</v>
      </c>
      <c r="D440" s="16" t="s">
        <v>68</v>
      </c>
      <c r="E440" s="17" t="n">
        <v>11</v>
      </c>
      <c r="F440" s="26" t="n">
        <v>0.080298121937648</v>
      </c>
      <c r="G440" s="17" t="n">
        <v>96</v>
      </c>
      <c r="H440" s="17" t="n">
        <v>1500</v>
      </c>
      <c r="I440" s="17"/>
      <c r="J440" s="17" t="n">
        <v>5</v>
      </c>
      <c r="K440" s="17"/>
      <c r="L440" s="17"/>
      <c r="M440" s="17"/>
      <c r="N440" s="27" t="str">
        <f aca="false">IF(F440=_xlfn.MINIFS($F$2:$F$948,$A$2:$A$948,$A440,$B$2:$B$948,$B440),"BEST","")</f>
        <v/>
      </c>
    </row>
    <row r="441" customFormat="false" ht="15" hidden="false" customHeight="false" outlineLevel="0" collapsed="false">
      <c r="A441" s="16" t="s">
        <v>50</v>
      </c>
      <c r="B441" s="17" t="n">
        <v>6</v>
      </c>
      <c r="C441" s="17" t="s">
        <v>69</v>
      </c>
      <c r="D441" s="16" t="s">
        <v>68</v>
      </c>
      <c r="E441" s="17" t="n">
        <v>12</v>
      </c>
      <c r="F441" s="26" t="n">
        <v>0.0519715242215266</v>
      </c>
      <c r="G441" s="17" t="n">
        <v>96</v>
      </c>
      <c r="H441" s="17" t="n">
        <v>1500</v>
      </c>
      <c r="I441" s="17"/>
      <c r="J441" s="17" t="n">
        <v>5</v>
      </c>
      <c r="K441" s="17"/>
      <c r="L441" s="17"/>
      <c r="M441" s="17"/>
      <c r="N441" s="27" t="str">
        <f aca="false">IF(F441=_xlfn.MINIFS($F$2:$F$948,$A$2:$A$948,$A441,$B$2:$B$948,$B441),"BEST","")</f>
        <v/>
      </c>
    </row>
    <row r="442" customFormat="false" ht="15" hidden="false" customHeight="false" outlineLevel="0" collapsed="false">
      <c r="A442" s="16" t="s">
        <v>50</v>
      </c>
      <c r="B442" s="17" t="n">
        <v>6</v>
      </c>
      <c r="C442" s="17" t="s">
        <v>69</v>
      </c>
      <c r="D442" s="16" t="s">
        <v>68</v>
      </c>
      <c r="E442" s="17" t="n">
        <v>13</v>
      </c>
      <c r="F442" s="26" t="n">
        <v>0.1165134113061</v>
      </c>
      <c r="G442" s="17" t="n">
        <v>96</v>
      </c>
      <c r="H442" s="17" t="n">
        <v>1500</v>
      </c>
      <c r="I442" s="17"/>
      <c r="J442" s="17" t="n">
        <v>5</v>
      </c>
      <c r="K442" s="17"/>
      <c r="L442" s="17"/>
      <c r="M442" s="17"/>
      <c r="N442" s="27" t="str">
        <f aca="false">IF(F442=_xlfn.MINIFS($F$2:$F$948,$A$2:$A$948,$A442,$B$2:$B$948,$B442),"BEST","")</f>
        <v/>
      </c>
    </row>
    <row r="443" customFormat="false" ht="15" hidden="false" customHeight="false" outlineLevel="0" collapsed="false">
      <c r="A443" s="16" t="s">
        <v>50</v>
      </c>
      <c r="B443" s="17" t="n">
        <v>6</v>
      </c>
      <c r="C443" s="17" t="s">
        <v>69</v>
      </c>
      <c r="D443" s="16" t="s">
        <v>68</v>
      </c>
      <c r="E443" s="17" t="n">
        <v>14</v>
      </c>
      <c r="F443" s="26" t="n">
        <v>0.0953815372911285</v>
      </c>
      <c r="G443" s="17" t="n">
        <v>96</v>
      </c>
      <c r="H443" s="17" t="n">
        <v>1500</v>
      </c>
      <c r="I443" s="17"/>
      <c r="J443" s="17" t="n">
        <v>5</v>
      </c>
      <c r="K443" s="17"/>
      <c r="L443" s="17"/>
      <c r="M443" s="17"/>
      <c r="N443" s="27" t="str">
        <f aca="false">IF(F443=_xlfn.MINIFS($F$2:$F$948,$A$2:$A$948,$A443,$B$2:$B$948,$B443),"BEST","")</f>
        <v/>
      </c>
    </row>
    <row r="444" customFormat="false" ht="15" hidden="false" customHeight="false" outlineLevel="0" collapsed="false">
      <c r="A444" s="16" t="s">
        <v>50</v>
      </c>
      <c r="B444" s="17" t="n">
        <v>6</v>
      </c>
      <c r="C444" s="17" t="s">
        <v>69</v>
      </c>
      <c r="D444" s="16" t="s">
        <v>68</v>
      </c>
      <c r="E444" s="17" t="n">
        <v>15</v>
      </c>
      <c r="F444" s="26" t="n">
        <v>0.0992713582253042</v>
      </c>
      <c r="G444" s="17" t="n">
        <v>96</v>
      </c>
      <c r="H444" s="17" t="n">
        <v>1500</v>
      </c>
      <c r="I444" s="17"/>
      <c r="J444" s="17" t="n">
        <v>5</v>
      </c>
      <c r="K444" s="17"/>
      <c r="L444" s="17"/>
      <c r="M444" s="17"/>
      <c r="N444" s="27" t="str">
        <f aca="false">IF(F444=_xlfn.MINIFS($F$2:$F$948,$A$2:$A$948,$A444,$B$2:$B$948,$B444),"BEST","")</f>
        <v/>
      </c>
    </row>
    <row r="445" customFormat="false" ht="15" hidden="false" customHeight="false" outlineLevel="0" collapsed="false">
      <c r="A445" s="16" t="s">
        <v>50</v>
      </c>
      <c r="B445" s="17" t="n">
        <v>6</v>
      </c>
      <c r="C445" s="17" t="s">
        <v>69</v>
      </c>
      <c r="D445" s="16" t="s">
        <v>68</v>
      </c>
      <c r="E445" s="17" t="n">
        <v>16</v>
      </c>
      <c r="F445" s="26" t="n">
        <v>0.072661481704242</v>
      </c>
      <c r="G445" s="17" t="n">
        <v>96</v>
      </c>
      <c r="H445" s="17" t="n">
        <v>1500</v>
      </c>
      <c r="I445" s="17"/>
      <c r="J445" s="17" t="n">
        <v>5</v>
      </c>
      <c r="K445" s="17"/>
      <c r="L445" s="17"/>
      <c r="M445" s="17"/>
      <c r="N445" s="27" t="str">
        <f aca="false">IF(F445=_xlfn.MINIFS($F$2:$F$948,$A$2:$A$948,$A445,$B$2:$B$948,$B445),"BEST","")</f>
        <v/>
      </c>
    </row>
    <row r="446" customFormat="false" ht="15" hidden="false" customHeight="false" outlineLevel="0" collapsed="false">
      <c r="A446" s="16" t="s">
        <v>50</v>
      </c>
      <c r="B446" s="17" t="n">
        <v>6</v>
      </c>
      <c r="C446" s="17" t="s">
        <v>69</v>
      </c>
      <c r="D446" s="16" t="s">
        <v>68</v>
      </c>
      <c r="E446" s="17" t="n">
        <v>17</v>
      </c>
      <c r="F446" s="26" t="n">
        <v>0.0986703707116448</v>
      </c>
      <c r="G446" s="17" t="n">
        <v>96</v>
      </c>
      <c r="H446" s="17" t="n">
        <v>1500</v>
      </c>
      <c r="I446" s="17"/>
      <c r="J446" s="17" t="n">
        <v>5</v>
      </c>
      <c r="K446" s="17"/>
      <c r="L446" s="17"/>
      <c r="M446" s="17"/>
      <c r="N446" s="27" t="str">
        <f aca="false">IF(F446=_xlfn.MINIFS($F$2:$F$948,$A$2:$A$948,$A446,$B$2:$B$948,$B446),"BEST","")</f>
        <v/>
      </c>
    </row>
    <row r="447" customFormat="false" ht="15" hidden="false" customHeight="false" outlineLevel="0" collapsed="false">
      <c r="A447" s="16" t="s">
        <v>50</v>
      </c>
      <c r="B447" s="17" t="n">
        <v>6</v>
      </c>
      <c r="C447" s="17" t="s">
        <v>69</v>
      </c>
      <c r="D447" s="16" t="s">
        <v>68</v>
      </c>
      <c r="E447" s="17" t="n">
        <v>18</v>
      </c>
      <c r="F447" s="26" t="n">
        <v>0.0994939117339688</v>
      </c>
      <c r="G447" s="17" t="n">
        <v>96</v>
      </c>
      <c r="H447" s="17" t="n">
        <v>1500</v>
      </c>
      <c r="I447" s="17"/>
      <c r="J447" s="17" t="n">
        <v>5</v>
      </c>
      <c r="K447" s="17"/>
      <c r="L447" s="17"/>
      <c r="M447" s="17"/>
      <c r="N447" s="27" t="str">
        <f aca="false">IF(F447=_xlfn.MINIFS($F$2:$F$948,$A$2:$A$948,$A447,$B$2:$B$948,$B447),"BEST","")</f>
        <v/>
      </c>
    </row>
    <row r="448" customFormat="false" ht="15" hidden="false" customHeight="false" outlineLevel="0" collapsed="false">
      <c r="A448" s="16" t="s">
        <v>50</v>
      </c>
      <c r="B448" s="17" t="n">
        <v>6</v>
      </c>
      <c r="C448" s="17" t="s">
        <v>69</v>
      </c>
      <c r="D448" s="16" t="s">
        <v>68</v>
      </c>
      <c r="E448" s="17" t="n">
        <v>19</v>
      </c>
      <c r="F448" s="26" t="n">
        <v>0.0820217548015981</v>
      </c>
      <c r="G448" s="17" t="n">
        <v>96</v>
      </c>
      <c r="H448" s="17" t="n">
        <v>1500</v>
      </c>
      <c r="I448" s="17"/>
      <c r="J448" s="17" t="n">
        <v>5</v>
      </c>
      <c r="K448" s="17"/>
      <c r="L448" s="17"/>
      <c r="M448" s="17"/>
      <c r="N448" s="27" t="str">
        <f aca="false">IF(F448=_xlfn.MINIFS($F$2:$F$948,$A$2:$A$948,$A448,$B$2:$B$948,$B448),"BEST","")</f>
        <v/>
      </c>
    </row>
    <row r="449" customFormat="false" ht="15" hidden="false" customHeight="false" outlineLevel="0" collapsed="false">
      <c r="A449" s="16" t="s">
        <v>50</v>
      </c>
      <c r="B449" s="17" t="n">
        <v>6</v>
      </c>
      <c r="C449" s="17" t="s">
        <v>70</v>
      </c>
      <c r="D449" s="16" t="s">
        <v>68</v>
      </c>
      <c r="E449" s="17" t="n">
        <v>0</v>
      </c>
      <c r="F449" s="26" t="n">
        <v>0.00185509412682739</v>
      </c>
      <c r="G449" s="17" t="n">
        <v>56</v>
      </c>
      <c r="H449" s="17" t="n">
        <v>1500</v>
      </c>
      <c r="I449" s="17"/>
      <c r="J449" s="17" t="n">
        <v>5</v>
      </c>
      <c r="K449" s="17"/>
      <c r="L449" s="17"/>
      <c r="M449" s="17" t="n">
        <v>3</v>
      </c>
      <c r="N449" s="27" t="str">
        <f aca="false">IF(F449=_xlfn.MINIFS($F$2:$F$948,$A$2:$A$948,$A449,$B$2:$B$948,$B449),"BEST","")</f>
        <v/>
      </c>
    </row>
    <row r="450" customFormat="false" ht="15" hidden="false" customHeight="false" outlineLevel="0" collapsed="false">
      <c r="A450" s="16" t="s">
        <v>50</v>
      </c>
      <c r="B450" s="17" t="n">
        <v>6</v>
      </c>
      <c r="C450" s="17" t="s">
        <v>70</v>
      </c>
      <c r="D450" s="16" t="s">
        <v>68</v>
      </c>
      <c r="E450" s="17" t="n">
        <v>1</v>
      </c>
      <c r="F450" s="26" t="n">
        <v>0.00185509412682739</v>
      </c>
      <c r="G450" s="17" t="n">
        <v>56</v>
      </c>
      <c r="H450" s="17" t="n">
        <v>1500</v>
      </c>
      <c r="I450" s="17"/>
      <c r="J450" s="17" t="n">
        <v>5</v>
      </c>
      <c r="K450" s="17"/>
      <c r="L450" s="17"/>
      <c r="M450" s="17" t="n">
        <v>3</v>
      </c>
      <c r="N450" s="27" t="str">
        <f aca="false">IF(F450=_xlfn.MINIFS($F$2:$F$948,$A$2:$A$948,$A450,$B$2:$B$948,$B450),"BEST","")</f>
        <v/>
      </c>
    </row>
    <row r="451" customFormat="false" ht="15" hidden="false" customHeight="false" outlineLevel="0" collapsed="false">
      <c r="A451" s="16" t="s">
        <v>50</v>
      </c>
      <c r="B451" s="17" t="n">
        <v>6</v>
      </c>
      <c r="C451" s="17" t="s">
        <v>70</v>
      </c>
      <c r="D451" s="16" t="s">
        <v>68</v>
      </c>
      <c r="E451" s="17" t="n">
        <v>2</v>
      </c>
      <c r="F451" s="26" t="n">
        <v>0.00185509412682739</v>
      </c>
      <c r="G451" s="17" t="n">
        <v>56</v>
      </c>
      <c r="H451" s="17" t="n">
        <v>1500</v>
      </c>
      <c r="I451" s="17"/>
      <c r="J451" s="17" t="n">
        <v>5</v>
      </c>
      <c r="K451" s="17"/>
      <c r="L451" s="17"/>
      <c r="M451" s="17" t="n">
        <v>3</v>
      </c>
      <c r="N451" s="27" t="str">
        <f aca="false">IF(F451=_xlfn.MINIFS($F$2:$F$948,$A$2:$A$948,$A451,$B$2:$B$948,$B451),"BEST","")</f>
        <v/>
      </c>
    </row>
    <row r="452" customFormat="false" ht="15" hidden="false" customHeight="false" outlineLevel="0" collapsed="false">
      <c r="A452" s="16" t="s">
        <v>50</v>
      </c>
      <c r="B452" s="17" t="n">
        <v>6</v>
      </c>
      <c r="C452" s="17" t="s">
        <v>70</v>
      </c>
      <c r="D452" s="16" t="s">
        <v>68</v>
      </c>
      <c r="E452" s="17" t="n">
        <v>3</v>
      </c>
      <c r="F452" s="26" t="n">
        <v>0.00185509412682739</v>
      </c>
      <c r="G452" s="17" t="n">
        <v>56</v>
      </c>
      <c r="H452" s="17" t="n">
        <v>1500</v>
      </c>
      <c r="I452" s="17"/>
      <c r="J452" s="17" t="n">
        <v>5</v>
      </c>
      <c r="K452" s="17"/>
      <c r="L452" s="17"/>
      <c r="M452" s="17" t="n">
        <v>3</v>
      </c>
      <c r="N452" s="27" t="str">
        <f aca="false">IF(F452=_xlfn.MINIFS($F$2:$F$948,$A$2:$A$948,$A452,$B$2:$B$948,$B452),"BEST","")</f>
        <v/>
      </c>
    </row>
    <row r="453" customFormat="false" ht="15" hidden="false" customHeight="false" outlineLevel="0" collapsed="false">
      <c r="A453" s="16" t="s">
        <v>50</v>
      </c>
      <c r="B453" s="17" t="n">
        <v>6</v>
      </c>
      <c r="C453" s="17" t="s">
        <v>70</v>
      </c>
      <c r="D453" s="16" t="s">
        <v>68</v>
      </c>
      <c r="E453" s="17" t="n">
        <v>4</v>
      </c>
      <c r="F453" s="26" t="n">
        <v>0.00185509412682739</v>
      </c>
      <c r="G453" s="17" t="n">
        <v>56</v>
      </c>
      <c r="H453" s="17" t="n">
        <v>1500</v>
      </c>
      <c r="I453" s="17"/>
      <c r="J453" s="17" t="n">
        <v>5</v>
      </c>
      <c r="K453" s="17"/>
      <c r="L453" s="17"/>
      <c r="M453" s="17" t="n">
        <v>3</v>
      </c>
      <c r="N453" s="27" t="str">
        <f aca="false">IF(F453=_xlfn.MINIFS($F$2:$F$948,$A$2:$A$948,$A453,$B$2:$B$948,$B453),"BEST","")</f>
        <v/>
      </c>
    </row>
    <row r="454" customFormat="false" ht="15" hidden="false" customHeight="false" outlineLevel="0" collapsed="false">
      <c r="A454" s="16" t="s">
        <v>50</v>
      </c>
      <c r="B454" s="17" t="n">
        <v>6</v>
      </c>
      <c r="C454" s="17" t="s">
        <v>70</v>
      </c>
      <c r="D454" s="16" t="s">
        <v>68</v>
      </c>
      <c r="E454" s="17" t="n">
        <v>5</v>
      </c>
      <c r="F454" s="26" t="n">
        <v>0.00185509412682739</v>
      </c>
      <c r="G454" s="17" t="n">
        <v>56</v>
      </c>
      <c r="H454" s="17" t="n">
        <v>1500</v>
      </c>
      <c r="I454" s="17"/>
      <c r="J454" s="17" t="n">
        <v>5</v>
      </c>
      <c r="K454" s="17"/>
      <c r="L454" s="17"/>
      <c r="M454" s="17" t="n">
        <v>3</v>
      </c>
      <c r="N454" s="27" t="str">
        <f aca="false">IF(F454=_xlfn.MINIFS($F$2:$F$948,$A$2:$A$948,$A454,$B$2:$B$948,$B454),"BEST","")</f>
        <v/>
      </c>
    </row>
    <row r="455" customFormat="false" ht="15" hidden="false" customHeight="false" outlineLevel="0" collapsed="false">
      <c r="A455" s="16" t="s">
        <v>50</v>
      </c>
      <c r="B455" s="17" t="n">
        <v>6</v>
      </c>
      <c r="C455" s="17" t="s">
        <v>70</v>
      </c>
      <c r="D455" s="16" t="s">
        <v>68</v>
      </c>
      <c r="E455" s="17" t="n">
        <v>6</v>
      </c>
      <c r="F455" s="26" t="n">
        <v>0.00185509412682739</v>
      </c>
      <c r="G455" s="17" t="n">
        <v>56</v>
      </c>
      <c r="H455" s="17" t="n">
        <v>1500</v>
      </c>
      <c r="I455" s="17"/>
      <c r="J455" s="17" t="n">
        <v>5</v>
      </c>
      <c r="K455" s="17"/>
      <c r="L455" s="17"/>
      <c r="M455" s="17" t="n">
        <v>3</v>
      </c>
      <c r="N455" s="27" t="str">
        <f aca="false">IF(F455=_xlfn.MINIFS($F$2:$F$948,$A$2:$A$948,$A455,$B$2:$B$948,$B455),"BEST","")</f>
        <v/>
      </c>
    </row>
    <row r="456" customFormat="false" ht="15" hidden="false" customHeight="false" outlineLevel="0" collapsed="false">
      <c r="A456" s="16" t="s">
        <v>50</v>
      </c>
      <c r="B456" s="17" t="n">
        <v>6</v>
      </c>
      <c r="C456" s="17" t="s">
        <v>70</v>
      </c>
      <c r="D456" s="16" t="s">
        <v>68</v>
      </c>
      <c r="E456" s="17" t="n">
        <v>7</v>
      </c>
      <c r="F456" s="26" t="n">
        <v>0.00185509412682739</v>
      </c>
      <c r="G456" s="17" t="n">
        <v>56</v>
      </c>
      <c r="H456" s="17" t="n">
        <v>1500</v>
      </c>
      <c r="I456" s="17"/>
      <c r="J456" s="17" t="n">
        <v>5</v>
      </c>
      <c r="K456" s="17"/>
      <c r="L456" s="17"/>
      <c r="M456" s="17" t="n">
        <v>3</v>
      </c>
      <c r="N456" s="27" t="str">
        <f aca="false">IF(F456=_xlfn.MINIFS($F$2:$F$948,$A$2:$A$948,$A456,$B$2:$B$948,$B456),"BEST","")</f>
        <v/>
      </c>
    </row>
    <row r="457" customFormat="false" ht="15" hidden="false" customHeight="false" outlineLevel="0" collapsed="false">
      <c r="A457" s="16" t="s">
        <v>50</v>
      </c>
      <c r="B457" s="17" t="n">
        <v>6</v>
      </c>
      <c r="C457" s="17" t="s">
        <v>70</v>
      </c>
      <c r="D457" s="16" t="s">
        <v>68</v>
      </c>
      <c r="E457" s="17" t="n">
        <v>8</v>
      </c>
      <c r="F457" s="26" t="n">
        <v>0.00185509412682739</v>
      </c>
      <c r="G457" s="17" t="n">
        <v>56</v>
      </c>
      <c r="H457" s="17" t="n">
        <v>1500</v>
      </c>
      <c r="I457" s="17"/>
      <c r="J457" s="17" t="n">
        <v>5</v>
      </c>
      <c r="K457" s="17"/>
      <c r="L457" s="17"/>
      <c r="M457" s="17" t="n">
        <v>3</v>
      </c>
      <c r="N457" s="27" t="str">
        <f aca="false">IF(F457=_xlfn.MINIFS($F$2:$F$948,$A$2:$A$948,$A457,$B$2:$B$948,$B457),"BEST","")</f>
        <v/>
      </c>
    </row>
    <row r="458" customFormat="false" ht="15" hidden="false" customHeight="false" outlineLevel="0" collapsed="false">
      <c r="A458" s="16" t="s">
        <v>50</v>
      </c>
      <c r="B458" s="17" t="n">
        <v>6</v>
      </c>
      <c r="C458" s="17" t="s">
        <v>70</v>
      </c>
      <c r="D458" s="16" t="s">
        <v>68</v>
      </c>
      <c r="E458" s="17" t="n">
        <v>9</v>
      </c>
      <c r="F458" s="26" t="n">
        <v>0.00185509412682739</v>
      </c>
      <c r="G458" s="17" t="n">
        <v>56</v>
      </c>
      <c r="H458" s="17" t="n">
        <v>1500</v>
      </c>
      <c r="I458" s="17"/>
      <c r="J458" s="17" t="n">
        <v>5</v>
      </c>
      <c r="K458" s="17"/>
      <c r="L458" s="17"/>
      <c r="M458" s="17" t="n">
        <v>3</v>
      </c>
      <c r="N458" s="27" t="str">
        <f aca="false">IF(F458=_xlfn.MINIFS($F$2:$F$948,$A$2:$A$948,$A458,$B$2:$B$948,$B458),"BEST","")</f>
        <v/>
      </c>
    </row>
    <row r="459" customFormat="false" ht="15" hidden="false" customHeight="false" outlineLevel="0" collapsed="false">
      <c r="A459" s="16" t="s">
        <v>50</v>
      </c>
      <c r="B459" s="17" t="n">
        <v>6</v>
      </c>
      <c r="C459" s="17" t="s">
        <v>70</v>
      </c>
      <c r="D459" s="16" t="s">
        <v>68</v>
      </c>
      <c r="E459" s="17" t="n">
        <v>10</v>
      </c>
      <c r="F459" s="26" t="n">
        <v>0.00185509412682739</v>
      </c>
      <c r="G459" s="17" t="n">
        <v>56</v>
      </c>
      <c r="H459" s="17" t="n">
        <v>1500</v>
      </c>
      <c r="I459" s="17"/>
      <c r="J459" s="17" t="n">
        <v>5</v>
      </c>
      <c r="K459" s="17"/>
      <c r="L459" s="17"/>
      <c r="M459" s="17" t="n">
        <v>3</v>
      </c>
      <c r="N459" s="27" t="str">
        <f aca="false">IF(F459=_xlfn.MINIFS($F$2:$F$948,$A$2:$A$948,$A459,$B$2:$B$948,$B459),"BEST","")</f>
        <v/>
      </c>
    </row>
    <row r="460" customFormat="false" ht="15" hidden="false" customHeight="false" outlineLevel="0" collapsed="false">
      <c r="A460" s="16" t="s">
        <v>50</v>
      </c>
      <c r="B460" s="17" t="n">
        <v>6</v>
      </c>
      <c r="C460" s="17" t="s">
        <v>70</v>
      </c>
      <c r="D460" s="16" t="s">
        <v>68</v>
      </c>
      <c r="E460" s="17" t="n">
        <v>11</v>
      </c>
      <c r="F460" s="26" t="n">
        <v>0.00185509412682739</v>
      </c>
      <c r="G460" s="17" t="n">
        <v>56</v>
      </c>
      <c r="H460" s="17" t="n">
        <v>1500</v>
      </c>
      <c r="I460" s="17"/>
      <c r="J460" s="17" t="n">
        <v>5</v>
      </c>
      <c r="K460" s="17"/>
      <c r="L460" s="17"/>
      <c r="M460" s="17" t="n">
        <v>3</v>
      </c>
      <c r="N460" s="27" t="str">
        <f aca="false">IF(F460=_xlfn.MINIFS($F$2:$F$948,$A$2:$A$948,$A460,$B$2:$B$948,$B460),"BEST","")</f>
        <v/>
      </c>
    </row>
    <row r="461" customFormat="false" ht="15" hidden="false" customHeight="false" outlineLevel="0" collapsed="false">
      <c r="A461" s="16" t="s">
        <v>50</v>
      </c>
      <c r="B461" s="17" t="n">
        <v>6</v>
      </c>
      <c r="C461" s="17" t="s">
        <v>70</v>
      </c>
      <c r="D461" s="16" t="s">
        <v>68</v>
      </c>
      <c r="E461" s="17" t="n">
        <v>12</v>
      </c>
      <c r="F461" s="26" t="n">
        <v>0.00185509412682739</v>
      </c>
      <c r="G461" s="17" t="n">
        <v>56</v>
      </c>
      <c r="H461" s="17" t="n">
        <v>1500</v>
      </c>
      <c r="I461" s="17"/>
      <c r="J461" s="17" t="n">
        <v>5</v>
      </c>
      <c r="K461" s="17"/>
      <c r="L461" s="17"/>
      <c r="M461" s="17" t="n">
        <v>3</v>
      </c>
      <c r="N461" s="27" t="str">
        <f aca="false">IF(F461=_xlfn.MINIFS($F$2:$F$948,$A$2:$A$948,$A461,$B$2:$B$948,$B461),"BEST","")</f>
        <v/>
      </c>
    </row>
    <row r="462" customFormat="false" ht="15" hidden="false" customHeight="false" outlineLevel="0" collapsed="false">
      <c r="A462" s="16" t="s">
        <v>50</v>
      </c>
      <c r="B462" s="17" t="n">
        <v>6</v>
      </c>
      <c r="C462" s="17" t="s">
        <v>70</v>
      </c>
      <c r="D462" s="16" t="s">
        <v>68</v>
      </c>
      <c r="E462" s="17" t="n">
        <v>13</v>
      </c>
      <c r="F462" s="26" t="n">
        <v>0.00185509412682739</v>
      </c>
      <c r="G462" s="17" t="n">
        <v>56</v>
      </c>
      <c r="H462" s="17" t="n">
        <v>1500</v>
      </c>
      <c r="I462" s="17"/>
      <c r="J462" s="17" t="n">
        <v>5</v>
      </c>
      <c r="K462" s="17"/>
      <c r="L462" s="17"/>
      <c r="M462" s="17" t="n">
        <v>3</v>
      </c>
      <c r="N462" s="27" t="str">
        <f aca="false">IF(F462=_xlfn.MINIFS($F$2:$F$948,$A$2:$A$948,$A462,$B$2:$B$948,$B462),"BEST","")</f>
        <v/>
      </c>
    </row>
    <row r="463" customFormat="false" ht="15" hidden="false" customHeight="false" outlineLevel="0" collapsed="false">
      <c r="A463" s="16" t="s">
        <v>50</v>
      </c>
      <c r="B463" s="17" t="n">
        <v>6</v>
      </c>
      <c r="C463" s="17" t="s">
        <v>70</v>
      </c>
      <c r="D463" s="16" t="s">
        <v>68</v>
      </c>
      <c r="E463" s="17" t="n">
        <v>14</v>
      </c>
      <c r="F463" s="26" t="n">
        <v>0.00185509412682739</v>
      </c>
      <c r="G463" s="17" t="n">
        <v>56</v>
      </c>
      <c r="H463" s="17" t="n">
        <v>1500</v>
      </c>
      <c r="I463" s="17"/>
      <c r="J463" s="17" t="n">
        <v>5</v>
      </c>
      <c r="K463" s="17"/>
      <c r="L463" s="17"/>
      <c r="M463" s="17" t="n">
        <v>3</v>
      </c>
      <c r="N463" s="27" t="str">
        <f aca="false">IF(F463=_xlfn.MINIFS($F$2:$F$948,$A$2:$A$948,$A463,$B$2:$B$948,$B463),"BEST","")</f>
        <v/>
      </c>
    </row>
    <row r="464" customFormat="false" ht="15" hidden="false" customHeight="false" outlineLevel="0" collapsed="false">
      <c r="A464" s="16" t="s">
        <v>50</v>
      </c>
      <c r="B464" s="17" t="n">
        <v>6</v>
      </c>
      <c r="C464" s="17" t="s">
        <v>70</v>
      </c>
      <c r="D464" s="16" t="s">
        <v>68</v>
      </c>
      <c r="E464" s="17" t="n">
        <v>15</v>
      </c>
      <c r="F464" s="26" t="n">
        <v>0.00185509412682739</v>
      </c>
      <c r="G464" s="17" t="n">
        <v>56</v>
      </c>
      <c r="H464" s="17" t="n">
        <v>1500</v>
      </c>
      <c r="I464" s="17"/>
      <c r="J464" s="17" t="n">
        <v>5</v>
      </c>
      <c r="K464" s="17"/>
      <c r="L464" s="17"/>
      <c r="M464" s="17" t="n">
        <v>3</v>
      </c>
      <c r="N464" s="27" t="str">
        <f aca="false">IF(F464=_xlfn.MINIFS($F$2:$F$948,$A$2:$A$948,$A464,$B$2:$B$948,$B464),"BEST","")</f>
        <v/>
      </c>
    </row>
    <row r="465" customFormat="false" ht="15" hidden="false" customHeight="false" outlineLevel="0" collapsed="false">
      <c r="A465" s="16" t="s">
        <v>50</v>
      </c>
      <c r="B465" s="17" t="n">
        <v>6</v>
      </c>
      <c r="C465" s="17" t="s">
        <v>70</v>
      </c>
      <c r="D465" s="16" t="s">
        <v>68</v>
      </c>
      <c r="E465" s="17" t="n">
        <v>16</v>
      </c>
      <c r="F465" s="26" t="n">
        <v>0.00185509412682739</v>
      </c>
      <c r="G465" s="17" t="n">
        <v>56</v>
      </c>
      <c r="H465" s="17" t="n">
        <v>1500</v>
      </c>
      <c r="I465" s="17"/>
      <c r="J465" s="17" t="n">
        <v>5</v>
      </c>
      <c r="K465" s="17"/>
      <c r="L465" s="17"/>
      <c r="M465" s="17" t="n">
        <v>3</v>
      </c>
      <c r="N465" s="27" t="str">
        <f aca="false">IF(F465=_xlfn.MINIFS($F$2:$F$948,$A$2:$A$948,$A465,$B$2:$B$948,$B465),"BEST","")</f>
        <v/>
      </c>
    </row>
    <row r="466" customFormat="false" ht="15" hidden="false" customHeight="false" outlineLevel="0" collapsed="false">
      <c r="A466" s="16" t="s">
        <v>50</v>
      </c>
      <c r="B466" s="17" t="n">
        <v>6</v>
      </c>
      <c r="C466" s="17" t="s">
        <v>70</v>
      </c>
      <c r="D466" s="16" t="s">
        <v>68</v>
      </c>
      <c r="E466" s="17" t="n">
        <v>17</v>
      </c>
      <c r="F466" s="26" t="n">
        <v>0.00185509412682739</v>
      </c>
      <c r="G466" s="17" t="n">
        <v>56</v>
      </c>
      <c r="H466" s="17" t="n">
        <v>1500</v>
      </c>
      <c r="I466" s="17"/>
      <c r="J466" s="17" t="n">
        <v>5</v>
      </c>
      <c r="K466" s="17"/>
      <c r="L466" s="17"/>
      <c r="M466" s="17" t="n">
        <v>3</v>
      </c>
      <c r="N466" s="27" t="str">
        <f aca="false">IF(F466=_xlfn.MINIFS($F$2:$F$948,$A$2:$A$948,$A466,$B$2:$B$948,$B466),"BEST","")</f>
        <v/>
      </c>
    </row>
    <row r="467" customFormat="false" ht="15" hidden="false" customHeight="false" outlineLevel="0" collapsed="false">
      <c r="A467" s="16" t="s">
        <v>50</v>
      </c>
      <c r="B467" s="17" t="n">
        <v>6</v>
      </c>
      <c r="C467" s="17" t="s">
        <v>70</v>
      </c>
      <c r="D467" s="16" t="s">
        <v>68</v>
      </c>
      <c r="E467" s="17" t="n">
        <v>18</v>
      </c>
      <c r="F467" s="26" t="n">
        <v>0.00185509412682739</v>
      </c>
      <c r="G467" s="17" t="n">
        <v>56</v>
      </c>
      <c r="H467" s="17" t="n">
        <v>1500</v>
      </c>
      <c r="I467" s="17"/>
      <c r="J467" s="17" t="n">
        <v>5</v>
      </c>
      <c r="K467" s="17"/>
      <c r="L467" s="17"/>
      <c r="M467" s="17" t="n">
        <v>3</v>
      </c>
      <c r="N467" s="27" t="str">
        <f aca="false">IF(F467=_xlfn.MINIFS($F$2:$F$948,$A$2:$A$948,$A467,$B$2:$B$948,$B467),"BEST","")</f>
        <v/>
      </c>
    </row>
    <row r="468" customFormat="false" ht="15" hidden="false" customHeight="false" outlineLevel="0" collapsed="false">
      <c r="A468" s="16" t="s">
        <v>50</v>
      </c>
      <c r="B468" s="17" t="n">
        <v>6</v>
      </c>
      <c r="C468" s="17" t="s">
        <v>70</v>
      </c>
      <c r="D468" s="16" t="s">
        <v>68</v>
      </c>
      <c r="E468" s="17" t="n">
        <v>19</v>
      </c>
      <c r="F468" s="26" t="n">
        <v>0.00185509412682739</v>
      </c>
      <c r="G468" s="17" t="n">
        <v>56</v>
      </c>
      <c r="H468" s="17" t="n">
        <v>1500</v>
      </c>
      <c r="I468" s="17"/>
      <c r="J468" s="17" t="n">
        <v>5</v>
      </c>
      <c r="K468" s="17"/>
      <c r="L468" s="17"/>
      <c r="M468" s="17" t="n">
        <v>3</v>
      </c>
      <c r="N468" s="27" t="str">
        <f aca="false">IF(F468=_xlfn.MINIFS($F$2:$F$948,$A$2:$A$948,$A468,$B$2:$B$948,$B468),"BEST","")</f>
        <v/>
      </c>
    </row>
    <row r="469" customFormat="false" ht="15" hidden="false" customHeight="false" outlineLevel="0" collapsed="false">
      <c r="A469" s="22" t="s">
        <v>50</v>
      </c>
      <c r="B469" s="23" t="n">
        <v>6</v>
      </c>
      <c r="C469" s="23" t="s">
        <v>71</v>
      </c>
      <c r="D469" s="22" t="s">
        <v>72</v>
      </c>
      <c r="E469" s="23" t="n">
        <v>0</v>
      </c>
      <c r="F469" s="28" t="n">
        <v>0.0132746218132113</v>
      </c>
      <c r="G469" s="23" t="n">
        <v>96</v>
      </c>
      <c r="H469" s="23" t="n">
        <v>1500</v>
      </c>
      <c r="I469" s="23" t="n">
        <v>4</v>
      </c>
      <c r="J469" s="23" t="n">
        <v>5</v>
      </c>
      <c r="K469" s="22" t="s">
        <v>73</v>
      </c>
      <c r="L469" s="22" t="s">
        <v>74</v>
      </c>
      <c r="M469" s="23"/>
      <c r="N469" s="27" t="str">
        <f aca="false">IF(F469=_xlfn.MINIFS($F$2:$F$948,$A$2:$A$948,$A469,$B$2:$B$948,$B469),"BEST","")</f>
        <v/>
      </c>
    </row>
    <row r="470" customFormat="false" ht="15" hidden="false" customHeight="false" outlineLevel="0" collapsed="false">
      <c r="A470" s="22" t="s">
        <v>50</v>
      </c>
      <c r="B470" s="23" t="n">
        <v>6</v>
      </c>
      <c r="C470" s="23" t="s">
        <v>71</v>
      </c>
      <c r="D470" s="22" t="s">
        <v>72</v>
      </c>
      <c r="E470" s="23" t="n">
        <v>1</v>
      </c>
      <c r="F470" s="28" t="n">
        <v>0.0254799197645379</v>
      </c>
      <c r="G470" s="23" t="n">
        <v>96</v>
      </c>
      <c r="H470" s="23" t="n">
        <v>1500</v>
      </c>
      <c r="I470" s="23" t="n">
        <v>4</v>
      </c>
      <c r="J470" s="23" t="n">
        <v>5</v>
      </c>
      <c r="K470" s="22" t="s">
        <v>73</v>
      </c>
      <c r="L470" s="22" t="s">
        <v>74</v>
      </c>
      <c r="M470" s="23"/>
      <c r="N470" s="27" t="str">
        <f aca="false">IF(F470=_xlfn.MINIFS($F$2:$F$948,$A$2:$A$948,$A470,$B$2:$B$948,$B470),"BEST","")</f>
        <v/>
      </c>
    </row>
    <row r="471" customFormat="false" ht="15" hidden="false" customHeight="false" outlineLevel="0" collapsed="false">
      <c r="A471" s="22" t="s">
        <v>50</v>
      </c>
      <c r="B471" s="23" t="n">
        <v>6</v>
      </c>
      <c r="C471" s="23" t="s">
        <v>71</v>
      </c>
      <c r="D471" s="22" t="s">
        <v>72</v>
      </c>
      <c r="E471" s="23" t="n">
        <v>2</v>
      </c>
      <c r="F471" s="28" t="n">
        <v>0.0166178888657561</v>
      </c>
      <c r="G471" s="23" t="n">
        <v>96</v>
      </c>
      <c r="H471" s="23" t="n">
        <v>1500</v>
      </c>
      <c r="I471" s="23" t="n">
        <v>4</v>
      </c>
      <c r="J471" s="23" t="n">
        <v>5</v>
      </c>
      <c r="K471" s="22" t="s">
        <v>73</v>
      </c>
      <c r="L471" s="22" t="s">
        <v>74</v>
      </c>
      <c r="M471" s="23"/>
      <c r="N471" s="27" t="str">
        <f aca="false">IF(F471=_xlfn.MINIFS($F$2:$F$948,$A$2:$A$948,$A471,$B$2:$B$948,$B471),"BEST","")</f>
        <v/>
      </c>
    </row>
    <row r="472" customFormat="false" ht="15" hidden="false" customHeight="false" outlineLevel="0" collapsed="false">
      <c r="A472" s="22" t="s">
        <v>50</v>
      </c>
      <c r="B472" s="23" t="n">
        <v>6</v>
      </c>
      <c r="C472" s="23" t="s">
        <v>71</v>
      </c>
      <c r="D472" s="22" t="s">
        <v>72</v>
      </c>
      <c r="E472" s="23" t="n">
        <v>3</v>
      </c>
      <c r="F472" s="28" t="n">
        <v>0.0136116778961653</v>
      </c>
      <c r="G472" s="23" t="n">
        <v>96</v>
      </c>
      <c r="H472" s="23" t="n">
        <v>1500</v>
      </c>
      <c r="I472" s="23" t="n">
        <v>4</v>
      </c>
      <c r="J472" s="23" t="n">
        <v>5</v>
      </c>
      <c r="K472" s="22" t="s">
        <v>73</v>
      </c>
      <c r="L472" s="22" t="s">
        <v>74</v>
      </c>
      <c r="M472" s="23"/>
      <c r="N472" s="27" t="str">
        <f aca="false">IF(F472=_xlfn.MINIFS($F$2:$F$948,$A$2:$A$948,$A472,$B$2:$B$948,$B472),"BEST","")</f>
        <v/>
      </c>
    </row>
    <row r="473" customFormat="false" ht="15" hidden="false" customHeight="false" outlineLevel="0" collapsed="false">
      <c r="A473" s="22" t="s">
        <v>50</v>
      </c>
      <c r="B473" s="23" t="n">
        <v>6</v>
      </c>
      <c r="C473" s="23" t="s">
        <v>71</v>
      </c>
      <c r="D473" s="22" t="s">
        <v>72</v>
      </c>
      <c r="E473" s="23" t="n">
        <v>4</v>
      </c>
      <c r="F473" s="28" t="n">
        <v>0.0117215136117028</v>
      </c>
      <c r="G473" s="23" t="n">
        <v>96</v>
      </c>
      <c r="H473" s="23" t="n">
        <v>1500</v>
      </c>
      <c r="I473" s="23" t="n">
        <v>4</v>
      </c>
      <c r="J473" s="23" t="n">
        <v>5</v>
      </c>
      <c r="K473" s="22" t="s">
        <v>73</v>
      </c>
      <c r="L473" s="22" t="s">
        <v>74</v>
      </c>
      <c r="M473" s="23"/>
      <c r="N473" s="27" t="str">
        <f aca="false">IF(F473=_xlfn.MINIFS($F$2:$F$948,$A$2:$A$948,$A473,$B$2:$B$948,$B473),"BEST","")</f>
        <v/>
      </c>
    </row>
    <row r="474" customFormat="false" ht="15" hidden="false" customHeight="false" outlineLevel="0" collapsed="false">
      <c r="A474" s="22" t="s">
        <v>50</v>
      </c>
      <c r="B474" s="23" t="n">
        <v>6</v>
      </c>
      <c r="C474" s="23" t="s">
        <v>71</v>
      </c>
      <c r="D474" s="22" t="s">
        <v>72</v>
      </c>
      <c r="E474" s="23" t="n">
        <v>5</v>
      </c>
      <c r="F474" s="28" t="n">
        <v>0.0148045481377673</v>
      </c>
      <c r="G474" s="23" t="n">
        <v>96</v>
      </c>
      <c r="H474" s="23" t="n">
        <v>1500</v>
      </c>
      <c r="I474" s="23" t="n">
        <v>4</v>
      </c>
      <c r="J474" s="23" t="n">
        <v>5</v>
      </c>
      <c r="K474" s="22" t="s">
        <v>73</v>
      </c>
      <c r="L474" s="22" t="s">
        <v>74</v>
      </c>
      <c r="M474" s="23"/>
      <c r="N474" s="27" t="str">
        <f aca="false">IF(F474=_xlfn.MINIFS($F$2:$F$948,$A$2:$A$948,$A474,$B$2:$B$948,$B474),"BEST","")</f>
        <v/>
      </c>
    </row>
    <row r="475" customFormat="false" ht="15" hidden="false" customHeight="false" outlineLevel="0" collapsed="false">
      <c r="A475" s="22" t="s">
        <v>50</v>
      </c>
      <c r="B475" s="23" t="n">
        <v>6</v>
      </c>
      <c r="C475" s="23" t="s">
        <v>71</v>
      </c>
      <c r="D475" s="22" t="s">
        <v>72</v>
      </c>
      <c r="E475" s="23" t="n">
        <v>6</v>
      </c>
      <c r="F475" s="28" t="n">
        <v>0.0245407408577796</v>
      </c>
      <c r="G475" s="23" t="n">
        <v>96</v>
      </c>
      <c r="H475" s="23" t="n">
        <v>1500</v>
      </c>
      <c r="I475" s="23" t="n">
        <v>4</v>
      </c>
      <c r="J475" s="23" t="n">
        <v>5</v>
      </c>
      <c r="K475" s="22" t="s">
        <v>73</v>
      </c>
      <c r="L475" s="22" t="s">
        <v>74</v>
      </c>
      <c r="M475" s="23"/>
      <c r="N475" s="27" t="str">
        <f aca="false">IF(F475=_xlfn.MINIFS($F$2:$F$948,$A$2:$A$948,$A475,$B$2:$B$948,$B475),"BEST","")</f>
        <v/>
      </c>
    </row>
    <row r="476" customFormat="false" ht="15" hidden="false" customHeight="false" outlineLevel="0" collapsed="false">
      <c r="A476" s="22" t="s">
        <v>50</v>
      </c>
      <c r="B476" s="23" t="n">
        <v>6</v>
      </c>
      <c r="C476" s="23" t="s">
        <v>71</v>
      </c>
      <c r="D476" s="22" t="s">
        <v>72</v>
      </c>
      <c r="E476" s="23" t="n">
        <v>7</v>
      </c>
      <c r="F476" s="28" t="n">
        <v>0.0132696428169357</v>
      </c>
      <c r="G476" s="23" t="n">
        <v>96</v>
      </c>
      <c r="H476" s="23" t="n">
        <v>1500</v>
      </c>
      <c r="I476" s="23" t="n">
        <v>4</v>
      </c>
      <c r="J476" s="23" t="n">
        <v>5</v>
      </c>
      <c r="K476" s="22" t="s">
        <v>73</v>
      </c>
      <c r="L476" s="22" t="s">
        <v>74</v>
      </c>
      <c r="M476" s="23"/>
      <c r="N476" s="27" t="str">
        <f aca="false">IF(F476=_xlfn.MINIFS($F$2:$F$948,$A$2:$A$948,$A476,$B$2:$B$948,$B476),"BEST","")</f>
        <v/>
      </c>
    </row>
    <row r="477" customFormat="false" ht="15" hidden="false" customHeight="false" outlineLevel="0" collapsed="false">
      <c r="A477" s="22" t="s">
        <v>50</v>
      </c>
      <c r="B477" s="23" t="n">
        <v>6</v>
      </c>
      <c r="C477" s="23" t="s">
        <v>71</v>
      </c>
      <c r="D477" s="22" t="s">
        <v>72</v>
      </c>
      <c r="E477" s="23" t="n">
        <v>8</v>
      </c>
      <c r="F477" s="28" t="n">
        <v>0.0224166221986443</v>
      </c>
      <c r="G477" s="23" t="n">
        <v>96</v>
      </c>
      <c r="H477" s="23" t="n">
        <v>1500</v>
      </c>
      <c r="I477" s="23" t="n">
        <v>4</v>
      </c>
      <c r="J477" s="23" t="n">
        <v>5</v>
      </c>
      <c r="K477" s="22" t="s">
        <v>73</v>
      </c>
      <c r="L477" s="22" t="s">
        <v>74</v>
      </c>
      <c r="M477" s="23"/>
      <c r="N477" s="27" t="str">
        <f aca="false">IF(F477=_xlfn.MINIFS($F$2:$F$948,$A$2:$A$948,$A477,$B$2:$B$948,$B477),"BEST","")</f>
        <v/>
      </c>
    </row>
    <row r="478" customFormat="false" ht="15" hidden="false" customHeight="false" outlineLevel="0" collapsed="false">
      <c r="A478" s="22" t="s">
        <v>50</v>
      </c>
      <c r="B478" s="23" t="n">
        <v>6</v>
      </c>
      <c r="C478" s="23" t="s">
        <v>71</v>
      </c>
      <c r="D478" s="22" t="s">
        <v>72</v>
      </c>
      <c r="E478" s="23" t="n">
        <v>9</v>
      </c>
      <c r="F478" s="28" t="n">
        <v>0.0110432558748973</v>
      </c>
      <c r="G478" s="23" t="n">
        <v>96</v>
      </c>
      <c r="H478" s="23" t="n">
        <v>1500</v>
      </c>
      <c r="I478" s="23" t="n">
        <v>4</v>
      </c>
      <c r="J478" s="23" t="n">
        <v>5</v>
      </c>
      <c r="K478" s="22" t="s">
        <v>73</v>
      </c>
      <c r="L478" s="22" t="s">
        <v>74</v>
      </c>
      <c r="M478" s="23"/>
      <c r="N478" s="27" t="str">
        <f aca="false">IF(F478=_xlfn.MINIFS($F$2:$F$948,$A$2:$A$948,$A478,$B$2:$B$948,$B478),"BEST","")</f>
        <v/>
      </c>
    </row>
    <row r="479" customFormat="false" ht="15" hidden="false" customHeight="false" outlineLevel="0" collapsed="false">
      <c r="A479" s="16" t="s">
        <v>50</v>
      </c>
      <c r="B479" s="17" t="n">
        <v>8</v>
      </c>
      <c r="C479" s="17" t="s">
        <v>67</v>
      </c>
      <c r="D479" s="16" t="s">
        <v>68</v>
      </c>
      <c r="E479" s="17" t="n">
        <v>0</v>
      </c>
      <c r="F479" s="26" t="n">
        <v>0.00114265851876497</v>
      </c>
      <c r="G479" s="17" t="n">
        <v>128</v>
      </c>
      <c r="H479" s="17" t="n">
        <v>1200</v>
      </c>
      <c r="I479" s="17"/>
      <c r="J479" s="17" t="n">
        <v>5</v>
      </c>
      <c r="K479" s="17"/>
      <c r="L479" s="17"/>
      <c r="M479" s="17"/>
      <c r="N479" s="27" t="str">
        <f aca="false">IF(F479=_xlfn.MINIFS($F$2:$F$948,$A$2:$A$948,$A479,$B$2:$B$948,$B479),"BEST","")</f>
        <v/>
      </c>
    </row>
    <row r="480" customFormat="false" ht="15" hidden="false" customHeight="false" outlineLevel="0" collapsed="false">
      <c r="A480" s="16" t="s">
        <v>50</v>
      </c>
      <c r="B480" s="17" t="n">
        <v>8</v>
      </c>
      <c r="C480" s="17" t="s">
        <v>67</v>
      </c>
      <c r="D480" s="16" t="s">
        <v>68</v>
      </c>
      <c r="E480" s="17" t="n">
        <v>1</v>
      </c>
      <c r="F480" s="26" t="n">
        <v>0.00103793233334307</v>
      </c>
      <c r="G480" s="17" t="n">
        <v>128</v>
      </c>
      <c r="H480" s="17" t="n">
        <v>1200</v>
      </c>
      <c r="I480" s="17"/>
      <c r="J480" s="17" t="n">
        <v>5</v>
      </c>
      <c r="K480" s="17"/>
      <c r="L480" s="17"/>
      <c r="M480" s="17"/>
      <c r="N480" s="27" t="str">
        <f aca="false">IF(F480=_xlfn.MINIFS($F$2:$F$948,$A$2:$A$948,$A480,$B$2:$B$948,$B480),"BEST","")</f>
        <v/>
      </c>
    </row>
    <row r="481" customFormat="false" ht="15" hidden="false" customHeight="false" outlineLevel="0" collapsed="false">
      <c r="A481" s="16" t="s">
        <v>50</v>
      </c>
      <c r="B481" s="17" t="n">
        <v>8</v>
      </c>
      <c r="C481" s="17" t="s">
        <v>67</v>
      </c>
      <c r="D481" s="16" t="s">
        <v>68</v>
      </c>
      <c r="E481" s="17" t="n">
        <v>2</v>
      </c>
      <c r="F481" s="26" t="n">
        <v>0.00103643822653068</v>
      </c>
      <c r="G481" s="17" t="n">
        <v>128</v>
      </c>
      <c r="H481" s="17" t="n">
        <v>1200</v>
      </c>
      <c r="I481" s="17"/>
      <c r="J481" s="17" t="n">
        <v>5</v>
      </c>
      <c r="K481" s="17"/>
      <c r="L481" s="17"/>
      <c r="M481" s="17"/>
      <c r="N481" s="27" t="str">
        <f aca="false">IF(F481=_xlfn.MINIFS($F$2:$F$948,$A$2:$A$948,$A481,$B$2:$B$948,$B481),"BEST","")</f>
        <v/>
      </c>
    </row>
    <row r="482" customFormat="false" ht="15" hidden="false" customHeight="false" outlineLevel="0" collapsed="false">
      <c r="A482" s="16" t="s">
        <v>50</v>
      </c>
      <c r="B482" s="17" t="n">
        <v>8</v>
      </c>
      <c r="C482" s="17" t="s">
        <v>67</v>
      </c>
      <c r="D482" s="16" t="s">
        <v>68</v>
      </c>
      <c r="E482" s="17" t="n">
        <v>3</v>
      </c>
      <c r="F482" s="26" t="n">
        <v>0.00118098947884014</v>
      </c>
      <c r="G482" s="17" t="n">
        <v>128</v>
      </c>
      <c r="H482" s="17" t="n">
        <v>1200</v>
      </c>
      <c r="I482" s="17"/>
      <c r="J482" s="17" t="n">
        <v>5</v>
      </c>
      <c r="K482" s="17"/>
      <c r="L482" s="17"/>
      <c r="M482" s="17"/>
      <c r="N482" s="27" t="str">
        <f aca="false">IF(F482=_xlfn.MINIFS($F$2:$F$948,$A$2:$A$948,$A482,$B$2:$B$948,$B482),"BEST","")</f>
        <v/>
      </c>
    </row>
    <row r="483" customFormat="false" ht="15" hidden="false" customHeight="false" outlineLevel="0" collapsed="false">
      <c r="A483" s="16" t="s">
        <v>50</v>
      </c>
      <c r="B483" s="17" t="n">
        <v>8</v>
      </c>
      <c r="C483" s="17" t="s">
        <v>67</v>
      </c>
      <c r="D483" s="16" t="s">
        <v>68</v>
      </c>
      <c r="E483" s="17" t="n">
        <v>4</v>
      </c>
      <c r="F483" s="26" t="n">
        <v>0.00100413746666527</v>
      </c>
      <c r="G483" s="17" t="n">
        <v>128</v>
      </c>
      <c r="H483" s="17" t="n">
        <v>1200</v>
      </c>
      <c r="I483" s="17"/>
      <c r="J483" s="17" t="n">
        <v>5</v>
      </c>
      <c r="K483" s="17"/>
      <c r="L483" s="17"/>
      <c r="M483" s="17"/>
      <c r="N483" s="27" t="str">
        <f aca="false">IF(F483=_xlfn.MINIFS($F$2:$F$948,$A$2:$A$948,$A483,$B$2:$B$948,$B483),"BEST","")</f>
        <v/>
      </c>
    </row>
    <row r="484" customFormat="false" ht="15" hidden="false" customHeight="false" outlineLevel="0" collapsed="false">
      <c r="A484" s="16" t="s">
        <v>50</v>
      </c>
      <c r="B484" s="17" t="n">
        <v>8</v>
      </c>
      <c r="C484" s="17" t="s">
        <v>67</v>
      </c>
      <c r="D484" s="16" t="s">
        <v>68</v>
      </c>
      <c r="E484" s="17" t="n">
        <v>5</v>
      </c>
      <c r="F484" s="26" t="n">
        <v>0.00127428771362804</v>
      </c>
      <c r="G484" s="17" t="n">
        <v>128</v>
      </c>
      <c r="H484" s="17" t="n">
        <v>1200</v>
      </c>
      <c r="I484" s="17"/>
      <c r="J484" s="17" t="n">
        <v>5</v>
      </c>
      <c r="K484" s="17"/>
      <c r="L484" s="17"/>
      <c r="M484" s="17"/>
      <c r="N484" s="27" t="str">
        <f aca="false">IF(F484=_xlfn.MINIFS($F$2:$F$948,$A$2:$A$948,$A484,$B$2:$B$948,$B484),"BEST","")</f>
        <v/>
      </c>
    </row>
    <row r="485" customFormat="false" ht="15" hidden="false" customHeight="false" outlineLevel="0" collapsed="false">
      <c r="A485" s="16" t="s">
        <v>50</v>
      </c>
      <c r="B485" s="17" t="n">
        <v>8</v>
      </c>
      <c r="C485" s="17" t="s">
        <v>67</v>
      </c>
      <c r="D485" s="16" t="s">
        <v>68</v>
      </c>
      <c r="E485" s="17" t="n">
        <v>6</v>
      </c>
      <c r="F485" s="26" t="n">
        <v>0.00112143049520012</v>
      </c>
      <c r="G485" s="17" t="n">
        <v>128</v>
      </c>
      <c r="H485" s="17" t="n">
        <v>1200</v>
      </c>
      <c r="I485" s="17"/>
      <c r="J485" s="17" t="n">
        <v>5</v>
      </c>
      <c r="K485" s="17"/>
      <c r="L485" s="17"/>
      <c r="M485" s="17"/>
      <c r="N485" s="27" t="str">
        <f aca="false">IF(F485=_xlfn.MINIFS($F$2:$F$948,$A$2:$A$948,$A485,$B$2:$B$948,$B485),"BEST","")</f>
        <v/>
      </c>
    </row>
    <row r="486" customFormat="false" ht="15" hidden="false" customHeight="false" outlineLevel="0" collapsed="false">
      <c r="A486" s="16" t="s">
        <v>50</v>
      </c>
      <c r="B486" s="17" t="n">
        <v>8</v>
      </c>
      <c r="C486" s="17" t="s">
        <v>67</v>
      </c>
      <c r="D486" s="16" t="s">
        <v>68</v>
      </c>
      <c r="E486" s="17" t="n">
        <v>7</v>
      </c>
      <c r="F486" s="26" t="n">
        <v>0.000977595839884925</v>
      </c>
      <c r="G486" s="17" t="n">
        <v>128</v>
      </c>
      <c r="H486" s="17" t="n">
        <v>1200</v>
      </c>
      <c r="I486" s="17"/>
      <c r="J486" s="17" t="n">
        <v>5</v>
      </c>
      <c r="K486" s="17"/>
      <c r="L486" s="17"/>
      <c r="M486" s="17"/>
      <c r="N486" s="27" t="str">
        <f aca="false">IF(F486=_xlfn.MINIFS($F$2:$F$948,$A$2:$A$948,$A486,$B$2:$B$948,$B486),"BEST","")</f>
        <v/>
      </c>
    </row>
    <row r="487" customFormat="false" ht="15" hidden="false" customHeight="false" outlineLevel="0" collapsed="false">
      <c r="A487" s="16" t="s">
        <v>50</v>
      </c>
      <c r="B487" s="17" t="n">
        <v>8</v>
      </c>
      <c r="C487" s="17" t="s">
        <v>67</v>
      </c>
      <c r="D487" s="16" t="s">
        <v>68</v>
      </c>
      <c r="E487" s="17" t="n">
        <v>8</v>
      </c>
      <c r="F487" s="26" t="n">
        <v>0.00098053080941859</v>
      </c>
      <c r="G487" s="17" t="n">
        <v>128</v>
      </c>
      <c r="H487" s="17" t="n">
        <v>1200</v>
      </c>
      <c r="I487" s="17"/>
      <c r="J487" s="17" t="n">
        <v>5</v>
      </c>
      <c r="K487" s="17"/>
      <c r="L487" s="17"/>
      <c r="M487" s="17"/>
      <c r="N487" s="27" t="str">
        <f aca="false">IF(F487=_xlfn.MINIFS($F$2:$F$948,$A$2:$A$948,$A487,$B$2:$B$948,$B487),"BEST","")</f>
        <v/>
      </c>
    </row>
    <row r="488" customFormat="false" ht="15" hidden="false" customHeight="false" outlineLevel="0" collapsed="false">
      <c r="A488" s="16" t="s">
        <v>50</v>
      </c>
      <c r="B488" s="17" t="n">
        <v>8</v>
      </c>
      <c r="C488" s="17" t="s">
        <v>67</v>
      </c>
      <c r="D488" s="16" t="s">
        <v>68</v>
      </c>
      <c r="E488" s="17" t="n">
        <v>9</v>
      </c>
      <c r="F488" s="26" t="n">
        <v>0.00099141651437213</v>
      </c>
      <c r="G488" s="17" t="n">
        <v>128</v>
      </c>
      <c r="H488" s="17" t="n">
        <v>1200</v>
      </c>
      <c r="I488" s="17"/>
      <c r="J488" s="17" t="n">
        <v>5</v>
      </c>
      <c r="K488" s="17"/>
      <c r="L488" s="17"/>
      <c r="M488" s="17"/>
      <c r="N488" s="27" t="str">
        <f aca="false">IF(F488=_xlfn.MINIFS($F$2:$F$948,$A$2:$A$948,$A488,$B$2:$B$948,$B488),"BEST","")</f>
        <v/>
      </c>
    </row>
    <row r="489" customFormat="false" ht="15" hidden="false" customHeight="false" outlineLevel="0" collapsed="false">
      <c r="A489" s="16" t="s">
        <v>50</v>
      </c>
      <c r="B489" s="17" t="n">
        <v>8</v>
      </c>
      <c r="C489" s="17" t="s">
        <v>67</v>
      </c>
      <c r="D489" s="16" t="s">
        <v>68</v>
      </c>
      <c r="E489" s="17" t="n">
        <v>10</v>
      </c>
      <c r="F489" s="26" t="n">
        <v>0.00108591440348992</v>
      </c>
      <c r="G489" s="17" t="n">
        <v>128</v>
      </c>
      <c r="H489" s="17" t="n">
        <v>1200</v>
      </c>
      <c r="I489" s="17"/>
      <c r="J489" s="17" t="n">
        <v>5</v>
      </c>
      <c r="K489" s="17"/>
      <c r="L489" s="17"/>
      <c r="M489" s="17"/>
      <c r="N489" s="27" t="str">
        <f aca="false">IF(F489=_xlfn.MINIFS($F$2:$F$948,$A$2:$A$948,$A489,$B$2:$B$948,$B489),"BEST","")</f>
        <v/>
      </c>
    </row>
    <row r="490" customFormat="false" ht="15" hidden="false" customHeight="false" outlineLevel="0" collapsed="false">
      <c r="A490" s="16" t="s">
        <v>50</v>
      </c>
      <c r="B490" s="17" t="n">
        <v>8</v>
      </c>
      <c r="C490" s="17" t="s">
        <v>67</v>
      </c>
      <c r="D490" s="16" t="s">
        <v>68</v>
      </c>
      <c r="E490" s="17" t="n">
        <v>11</v>
      </c>
      <c r="F490" s="26" t="n">
        <v>0.000832938226928939</v>
      </c>
      <c r="G490" s="17" t="n">
        <v>128</v>
      </c>
      <c r="H490" s="17" t="n">
        <v>1200</v>
      </c>
      <c r="I490" s="17"/>
      <c r="J490" s="17" t="n">
        <v>5</v>
      </c>
      <c r="K490" s="17"/>
      <c r="L490" s="17"/>
      <c r="M490" s="17"/>
      <c r="N490" s="27" t="str">
        <f aca="false">IF(F490=_xlfn.MINIFS($F$2:$F$948,$A$2:$A$948,$A490,$B$2:$B$948,$B490),"BEST","")</f>
        <v>BEST</v>
      </c>
    </row>
    <row r="491" customFormat="false" ht="15" hidden="false" customHeight="false" outlineLevel="0" collapsed="false">
      <c r="A491" s="16" t="s">
        <v>50</v>
      </c>
      <c r="B491" s="17" t="n">
        <v>8</v>
      </c>
      <c r="C491" s="17" t="s">
        <v>67</v>
      </c>
      <c r="D491" s="16" t="s">
        <v>68</v>
      </c>
      <c r="E491" s="17" t="n">
        <v>12</v>
      </c>
      <c r="F491" s="26" t="n">
        <v>0.00110213857586205</v>
      </c>
      <c r="G491" s="17" t="n">
        <v>128</v>
      </c>
      <c r="H491" s="17" t="n">
        <v>1200</v>
      </c>
      <c r="I491" s="17"/>
      <c r="J491" s="17" t="n">
        <v>5</v>
      </c>
      <c r="K491" s="17"/>
      <c r="L491" s="17"/>
      <c r="M491" s="17"/>
      <c r="N491" s="27" t="str">
        <f aca="false">IF(F491=_xlfn.MINIFS($F$2:$F$948,$A$2:$A$948,$A491,$B$2:$B$948,$B491),"BEST","")</f>
        <v/>
      </c>
    </row>
    <row r="492" customFormat="false" ht="15" hidden="false" customHeight="false" outlineLevel="0" collapsed="false">
      <c r="A492" s="16" t="s">
        <v>50</v>
      </c>
      <c r="B492" s="17" t="n">
        <v>8</v>
      </c>
      <c r="C492" s="17" t="s">
        <v>67</v>
      </c>
      <c r="D492" s="16" t="s">
        <v>68</v>
      </c>
      <c r="E492" s="17" t="n">
        <v>13</v>
      </c>
      <c r="F492" s="26" t="n">
        <v>0.0010621862795583</v>
      </c>
      <c r="G492" s="17" t="n">
        <v>128</v>
      </c>
      <c r="H492" s="17" t="n">
        <v>1200</v>
      </c>
      <c r="I492" s="17"/>
      <c r="J492" s="17" t="n">
        <v>5</v>
      </c>
      <c r="K492" s="17"/>
      <c r="L492" s="17"/>
      <c r="M492" s="17"/>
      <c r="N492" s="27" t="str">
        <f aca="false">IF(F492=_xlfn.MINIFS($F$2:$F$948,$A$2:$A$948,$A492,$B$2:$B$948,$B492),"BEST","")</f>
        <v/>
      </c>
    </row>
    <row r="493" customFormat="false" ht="15" hidden="false" customHeight="false" outlineLevel="0" collapsed="false">
      <c r="A493" s="16" t="s">
        <v>50</v>
      </c>
      <c r="B493" s="17" t="n">
        <v>8</v>
      </c>
      <c r="C493" s="17" t="s">
        <v>67</v>
      </c>
      <c r="D493" s="16" t="s">
        <v>68</v>
      </c>
      <c r="E493" s="17" t="n">
        <v>14</v>
      </c>
      <c r="F493" s="26" t="n">
        <v>0.000994319521546765</v>
      </c>
      <c r="G493" s="17" t="n">
        <v>128</v>
      </c>
      <c r="H493" s="17" t="n">
        <v>1200</v>
      </c>
      <c r="I493" s="17"/>
      <c r="J493" s="17" t="n">
        <v>5</v>
      </c>
      <c r="K493" s="17"/>
      <c r="L493" s="17"/>
      <c r="M493" s="17"/>
      <c r="N493" s="27" t="str">
        <f aca="false">IF(F493=_xlfn.MINIFS($F$2:$F$948,$A$2:$A$948,$A493,$B$2:$B$948,$B493),"BEST","")</f>
        <v/>
      </c>
    </row>
    <row r="494" customFormat="false" ht="15" hidden="false" customHeight="false" outlineLevel="0" collapsed="false">
      <c r="A494" s="16" t="s">
        <v>50</v>
      </c>
      <c r="B494" s="17" t="n">
        <v>8</v>
      </c>
      <c r="C494" s="17" t="s">
        <v>67</v>
      </c>
      <c r="D494" s="16" t="s">
        <v>68</v>
      </c>
      <c r="E494" s="17" t="n">
        <v>15</v>
      </c>
      <c r="F494" s="26" t="n">
        <v>0.00106769891431666</v>
      </c>
      <c r="G494" s="17" t="n">
        <v>128</v>
      </c>
      <c r="H494" s="17" t="n">
        <v>1200</v>
      </c>
      <c r="I494" s="17"/>
      <c r="J494" s="17" t="n">
        <v>5</v>
      </c>
      <c r="K494" s="17"/>
      <c r="L494" s="17"/>
      <c r="M494" s="17"/>
      <c r="N494" s="27" t="str">
        <f aca="false">IF(F494=_xlfn.MINIFS($F$2:$F$948,$A$2:$A$948,$A494,$B$2:$B$948,$B494),"BEST","")</f>
        <v/>
      </c>
    </row>
    <row r="495" customFormat="false" ht="15" hidden="false" customHeight="false" outlineLevel="0" collapsed="false">
      <c r="A495" s="16" t="s">
        <v>50</v>
      </c>
      <c r="B495" s="17" t="n">
        <v>8</v>
      </c>
      <c r="C495" s="17" t="s">
        <v>67</v>
      </c>
      <c r="D495" s="16" t="s">
        <v>68</v>
      </c>
      <c r="E495" s="17" t="n">
        <v>16</v>
      </c>
      <c r="F495" s="26" t="n">
        <v>0.000927743577715208</v>
      </c>
      <c r="G495" s="17" t="n">
        <v>128</v>
      </c>
      <c r="H495" s="17" t="n">
        <v>1200</v>
      </c>
      <c r="I495" s="17"/>
      <c r="J495" s="17" t="n">
        <v>5</v>
      </c>
      <c r="K495" s="17"/>
      <c r="L495" s="17"/>
      <c r="M495" s="17"/>
      <c r="N495" s="27" t="str">
        <f aca="false">IF(F495=_xlfn.MINIFS($F$2:$F$948,$A$2:$A$948,$A495,$B$2:$B$948,$B495),"BEST","")</f>
        <v/>
      </c>
    </row>
    <row r="496" customFormat="false" ht="15" hidden="false" customHeight="false" outlineLevel="0" collapsed="false">
      <c r="A496" s="16" t="s">
        <v>50</v>
      </c>
      <c r="B496" s="17" t="n">
        <v>8</v>
      </c>
      <c r="C496" s="17" t="s">
        <v>67</v>
      </c>
      <c r="D496" s="16" t="s">
        <v>68</v>
      </c>
      <c r="E496" s="17" t="n">
        <v>17</v>
      </c>
      <c r="F496" s="26" t="n">
        <v>0.00104773131129665</v>
      </c>
      <c r="G496" s="17" t="n">
        <v>128</v>
      </c>
      <c r="H496" s="17" t="n">
        <v>1200</v>
      </c>
      <c r="I496" s="17"/>
      <c r="J496" s="17" t="n">
        <v>5</v>
      </c>
      <c r="K496" s="17"/>
      <c r="L496" s="17"/>
      <c r="M496" s="17"/>
      <c r="N496" s="27" t="str">
        <f aca="false">IF(F496=_xlfn.MINIFS($F$2:$F$948,$A$2:$A$948,$A496,$B$2:$B$948,$B496),"BEST","")</f>
        <v/>
      </c>
    </row>
    <row r="497" customFormat="false" ht="15" hidden="false" customHeight="false" outlineLevel="0" collapsed="false">
      <c r="A497" s="16" t="s">
        <v>50</v>
      </c>
      <c r="B497" s="17" t="n">
        <v>8</v>
      </c>
      <c r="C497" s="17" t="s">
        <v>67</v>
      </c>
      <c r="D497" s="16" t="s">
        <v>68</v>
      </c>
      <c r="E497" s="17" t="n">
        <v>18</v>
      </c>
      <c r="F497" s="26" t="n">
        <v>0.00108655564573553</v>
      </c>
      <c r="G497" s="17" t="n">
        <v>128</v>
      </c>
      <c r="H497" s="17" t="n">
        <v>1200</v>
      </c>
      <c r="I497" s="17"/>
      <c r="J497" s="17" t="n">
        <v>5</v>
      </c>
      <c r="K497" s="17"/>
      <c r="L497" s="17"/>
      <c r="M497" s="17"/>
      <c r="N497" s="27" t="str">
        <f aca="false">IF(F497=_xlfn.MINIFS($F$2:$F$948,$A$2:$A$948,$A497,$B$2:$B$948,$B497),"BEST","")</f>
        <v/>
      </c>
    </row>
    <row r="498" customFormat="false" ht="15" hidden="false" customHeight="false" outlineLevel="0" collapsed="false">
      <c r="A498" s="16" t="s">
        <v>50</v>
      </c>
      <c r="B498" s="17" t="n">
        <v>8</v>
      </c>
      <c r="C498" s="17" t="s">
        <v>67</v>
      </c>
      <c r="D498" s="16" t="s">
        <v>68</v>
      </c>
      <c r="E498" s="17" t="n">
        <v>19</v>
      </c>
      <c r="F498" s="26" t="n">
        <v>0.000879374434645732</v>
      </c>
      <c r="G498" s="17" t="n">
        <v>128</v>
      </c>
      <c r="H498" s="17" t="n">
        <v>1200</v>
      </c>
      <c r="I498" s="17"/>
      <c r="J498" s="17" t="n">
        <v>5</v>
      </c>
      <c r="K498" s="17"/>
      <c r="L498" s="17"/>
      <c r="M498" s="17"/>
      <c r="N498" s="27" t="str">
        <f aca="false">IF(F498=_xlfn.MINIFS($F$2:$F$948,$A$2:$A$948,$A498,$B$2:$B$948,$B498),"BEST","")</f>
        <v/>
      </c>
    </row>
    <row r="499" customFormat="false" ht="15" hidden="false" customHeight="false" outlineLevel="0" collapsed="false">
      <c r="A499" s="16" t="s">
        <v>50</v>
      </c>
      <c r="B499" s="17" t="n">
        <v>8</v>
      </c>
      <c r="C499" s="17" t="s">
        <v>69</v>
      </c>
      <c r="D499" s="16" t="s">
        <v>68</v>
      </c>
      <c r="E499" s="17" t="n">
        <v>0</v>
      </c>
      <c r="F499" s="26" t="n">
        <v>0.0415748259967367</v>
      </c>
      <c r="G499" s="17" t="n">
        <v>128</v>
      </c>
      <c r="H499" s="17" t="n">
        <v>1200</v>
      </c>
      <c r="I499" s="17"/>
      <c r="J499" s="17" t="n">
        <v>5</v>
      </c>
      <c r="K499" s="17"/>
      <c r="L499" s="17"/>
      <c r="M499" s="17"/>
      <c r="N499" s="27" t="str">
        <f aca="false">IF(F499=_xlfn.MINIFS($F$2:$F$948,$A$2:$A$948,$A499,$B$2:$B$948,$B499),"BEST","")</f>
        <v/>
      </c>
    </row>
    <row r="500" customFormat="false" ht="15" hidden="false" customHeight="false" outlineLevel="0" collapsed="false">
      <c r="A500" s="16" t="s">
        <v>50</v>
      </c>
      <c r="B500" s="17" t="n">
        <v>8</v>
      </c>
      <c r="C500" s="17" t="s">
        <v>69</v>
      </c>
      <c r="D500" s="16" t="s">
        <v>68</v>
      </c>
      <c r="E500" s="17" t="n">
        <v>1</v>
      </c>
      <c r="F500" s="26" t="n">
        <v>0.0419761799874854</v>
      </c>
      <c r="G500" s="17" t="n">
        <v>128</v>
      </c>
      <c r="H500" s="17" t="n">
        <v>1200</v>
      </c>
      <c r="I500" s="17"/>
      <c r="J500" s="17" t="n">
        <v>5</v>
      </c>
      <c r="K500" s="17"/>
      <c r="L500" s="17"/>
      <c r="M500" s="17"/>
      <c r="N500" s="27" t="str">
        <f aca="false">IF(F500=_xlfn.MINIFS($F$2:$F$948,$A$2:$A$948,$A500,$B$2:$B$948,$B500),"BEST","")</f>
        <v/>
      </c>
    </row>
    <row r="501" customFormat="false" ht="15" hidden="false" customHeight="false" outlineLevel="0" collapsed="false">
      <c r="A501" s="16" t="s">
        <v>50</v>
      </c>
      <c r="B501" s="17" t="n">
        <v>8</v>
      </c>
      <c r="C501" s="17" t="s">
        <v>69</v>
      </c>
      <c r="D501" s="16" t="s">
        <v>68</v>
      </c>
      <c r="E501" s="17" t="n">
        <v>2</v>
      </c>
      <c r="F501" s="26" t="n">
        <v>0.0755049838518923</v>
      </c>
      <c r="G501" s="17" t="n">
        <v>128</v>
      </c>
      <c r="H501" s="17" t="n">
        <v>1200</v>
      </c>
      <c r="I501" s="17"/>
      <c r="J501" s="17" t="n">
        <v>5</v>
      </c>
      <c r="K501" s="17"/>
      <c r="L501" s="17"/>
      <c r="M501" s="17"/>
      <c r="N501" s="27" t="str">
        <f aca="false">IF(F501=_xlfn.MINIFS($F$2:$F$948,$A$2:$A$948,$A501,$B$2:$B$948,$B501),"BEST","")</f>
        <v/>
      </c>
    </row>
    <row r="502" customFormat="false" ht="15" hidden="false" customHeight="false" outlineLevel="0" collapsed="false">
      <c r="A502" s="16" t="s">
        <v>50</v>
      </c>
      <c r="B502" s="17" t="n">
        <v>8</v>
      </c>
      <c r="C502" s="17" t="s">
        <v>69</v>
      </c>
      <c r="D502" s="16" t="s">
        <v>68</v>
      </c>
      <c r="E502" s="17" t="n">
        <v>3</v>
      </c>
      <c r="F502" s="26" t="n">
        <v>0.0497041840850331</v>
      </c>
      <c r="G502" s="17" t="n">
        <v>128</v>
      </c>
      <c r="H502" s="17" t="n">
        <v>1200</v>
      </c>
      <c r="I502" s="17"/>
      <c r="J502" s="17" t="n">
        <v>5</v>
      </c>
      <c r="K502" s="17"/>
      <c r="L502" s="17"/>
      <c r="M502" s="17"/>
      <c r="N502" s="27" t="str">
        <f aca="false">IF(F502=_xlfn.MINIFS($F$2:$F$948,$A$2:$A$948,$A502,$B$2:$B$948,$B502),"BEST","")</f>
        <v/>
      </c>
    </row>
    <row r="503" customFormat="false" ht="15" hidden="false" customHeight="false" outlineLevel="0" collapsed="false">
      <c r="A503" s="16" t="s">
        <v>50</v>
      </c>
      <c r="B503" s="17" t="n">
        <v>8</v>
      </c>
      <c r="C503" s="17" t="s">
        <v>69</v>
      </c>
      <c r="D503" s="16" t="s">
        <v>68</v>
      </c>
      <c r="E503" s="17" t="n">
        <v>4</v>
      </c>
      <c r="F503" s="26" t="n">
        <v>0.0616416467444481</v>
      </c>
      <c r="G503" s="17" t="n">
        <v>128</v>
      </c>
      <c r="H503" s="17" t="n">
        <v>1200</v>
      </c>
      <c r="I503" s="17"/>
      <c r="J503" s="17" t="n">
        <v>5</v>
      </c>
      <c r="K503" s="17"/>
      <c r="L503" s="17"/>
      <c r="M503" s="17"/>
      <c r="N503" s="27" t="str">
        <f aca="false">IF(F503=_xlfn.MINIFS($F$2:$F$948,$A$2:$A$948,$A503,$B$2:$B$948,$B503),"BEST","")</f>
        <v/>
      </c>
    </row>
    <row r="504" customFormat="false" ht="15" hidden="false" customHeight="false" outlineLevel="0" collapsed="false">
      <c r="A504" s="16" t="s">
        <v>50</v>
      </c>
      <c r="B504" s="17" t="n">
        <v>8</v>
      </c>
      <c r="C504" s="17" t="s">
        <v>69</v>
      </c>
      <c r="D504" s="16" t="s">
        <v>68</v>
      </c>
      <c r="E504" s="17" t="n">
        <v>5</v>
      </c>
      <c r="F504" s="26" t="n">
        <v>0.0555821601950503</v>
      </c>
      <c r="G504" s="17" t="n">
        <v>128</v>
      </c>
      <c r="H504" s="17" t="n">
        <v>1200</v>
      </c>
      <c r="I504" s="17"/>
      <c r="J504" s="17" t="n">
        <v>5</v>
      </c>
      <c r="K504" s="17"/>
      <c r="L504" s="17"/>
      <c r="M504" s="17"/>
      <c r="N504" s="27" t="str">
        <f aca="false">IF(F504=_xlfn.MINIFS($F$2:$F$948,$A$2:$A$948,$A504,$B$2:$B$948,$B504),"BEST","")</f>
        <v/>
      </c>
    </row>
    <row r="505" customFormat="false" ht="15" hidden="false" customHeight="false" outlineLevel="0" collapsed="false">
      <c r="A505" s="16" t="s">
        <v>50</v>
      </c>
      <c r="B505" s="17" t="n">
        <v>8</v>
      </c>
      <c r="C505" s="17" t="s">
        <v>69</v>
      </c>
      <c r="D505" s="16" t="s">
        <v>68</v>
      </c>
      <c r="E505" s="17" t="n">
        <v>6</v>
      </c>
      <c r="F505" s="26" t="n">
        <v>0.0387578587171514</v>
      </c>
      <c r="G505" s="17" t="n">
        <v>128</v>
      </c>
      <c r="H505" s="17" t="n">
        <v>1200</v>
      </c>
      <c r="I505" s="17"/>
      <c r="J505" s="17" t="n">
        <v>5</v>
      </c>
      <c r="K505" s="17"/>
      <c r="L505" s="17"/>
      <c r="M505" s="17"/>
      <c r="N505" s="27" t="str">
        <f aca="false">IF(F505=_xlfn.MINIFS($F$2:$F$948,$A$2:$A$948,$A505,$B$2:$B$948,$B505),"BEST","")</f>
        <v/>
      </c>
    </row>
    <row r="506" customFormat="false" ht="15" hidden="false" customHeight="false" outlineLevel="0" collapsed="false">
      <c r="A506" s="16" t="s">
        <v>50</v>
      </c>
      <c r="B506" s="17" t="n">
        <v>8</v>
      </c>
      <c r="C506" s="17" t="s">
        <v>69</v>
      </c>
      <c r="D506" s="16" t="s">
        <v>68</v>
      </c>
      <c r="E506" s="17" t="n">
        <v>7</v>
      </c>
      <c r="F506" s="26" t="n">
        <v>0.0486671645182597</v>
      </c>
      <c r="G506" s="17" t="n">
        <v>128</v>
      </c>
      <c r="H506" s="17" t="n">
        <v>1200</v>
      </c>
      <c r="I506" s="17"/>
      <c r="J506" s="17" t="n">
        <v>5</v>
      </c>
      <c r="K506" s="17"/>
      <c r="L506" s="17"/>
      <c r="M506" s="17"/>
      <c r="N506" s="27" t="str">
        <f aca="false">IF(F506=_xlfn.MINIFS($F$2:$F$948,$A$2:$A$948,$A506,$B$2:$B$948,$B506),"BEST","")</f>
        <v/>
      </c>
    </row>
    <row r="507" customFormat="false" ht="15" hidden="false" customHeight="false" outlineLevel="0" collapsed="false">
      <c r="A507" s="16" t="s">
        <v>50</v>
      </c>
      <c r="B507" s="17" t="n">
        <v>8</v>
      </c>
      <c r="C507" s="17" t="s">
        <v>69</v>
      </c>
      <c r="D507" s="16" t="s">
        <v>68</v>
      </c>
      <c r="E507" s="17" t="n">
        <v>8</v>
      </c>
      <c r="F507" s="26" t="n">
        <v>0.0481067809690243</v>
      </c>
      <c r="G507" s="17" t="n">
        <v>128</v>
      </c>
      <c r="H507" s="17" t="n">
        <v>1200</v>
      </c>
      <c r="I507" s="17"/>
      <c r="J507" s="17" t="n">
        <v>5</v>
      </c>
      <c r="K507" s="17"/>
      <c r="L507" s="17"/>
      <c r="M507" s="17"/>
      <c r="N507" s="27" t="str">
        <f aca="false">IF(F507=_xlfn.MINIFS($F$2:$F$948,$A$2:$A$948,$A507,$B$2:$B$948,$B507),"BEST","")</f>
        <v/>
      </c>
    </row>
    <row r="508" customFormat="false" ht="15" hidden="false" customHeight="false" outlineLevel="0" collapsed="false">
      <c r="A508" s="16" t="s">
        <v>50</v>
      </c>
      <c r="B508" s="17" t="n">
        <v>8</v>
      </c>
      <c r="C508" s="17" t="s">
        <v>69</v>
      </c>
      <c r="D508" s="16" t="s">
        <v>68</v>
      </c>
      <c r="E508" s="17" t="n">
        <v>9</v>
      </c>
      <c r="F508" s="26" t="n">
        <v>0.057244019683968</v>
      </c>
      <c r="G508" s="17" t="n">
        <v>128</v>
      </c>
      <c r="H508" s="17" t="n">
        <v>1200</v>
      </c>
      <c r="I508" s="17"/>
      <c r="J508" s="17" t="n">
        <v>5</v>
      </c>
      <c r="K508" s="17"/>
      <c r="L508" s="17"/>
      <c r="M508" s="17"/>
      <c r="N508" s="27" t="str">
        <f aca="false">IF(F508=_xlfn.MINIFS($F$2:$F$948,$A$2:$A$948,$A508,$B$2:$B$948,$B508),"BEST","")</f>
        <v/>
      </c>
    </row>
    <row r="509" customFormat="false" ht="15" hidden="false" customHeight="false" outlineLevel="0" collapsed="false">
      <c r="A509" s="16" t="s">
        <v>50</v>
      </c>
      <c r="B509" s="17" t="n">
        <v>8</v>
      </c>
      <c r="C509" s="17" t="s">
        <v>69</v>
      </c>
      <c r="D509" s="16" t="s">
        <v>68</v>
      </c>
      <c r="E509" s="17" t="n">
        <v>10</v>
      </c>
      <c r="F509" s="26" t="n">
        <v>0.0534580836172066</v>
      </c>
      <c r="G509" s="17" t="n">
        <v>128</v>
      </c>
      <c r="H509" s="17" t="n">
        <v>1200</v>
      </c>
      <c r="I509" s="17"/>
      <c r="J509" s="17" t="n">
        <v>5</v>
      </c>
      <c r="K509" s="17"/>
      <c r="L509" s="17"/>
      <c r="M509" s="17"/>
      <c r="N509" s="27" t="str">
        <f aca="false">IF(F509=_xlfn.MINIFS($F$2:$F$948,$A$2:$A$948,$A509,$B$2:$B$948,$B509),"BEST","")</f>
        <v/>
      </c>
    </row>
    <row r="510" customFormat="false" ht="15" hidden="false" customHeight="false" outlineLevel="0" collapsed="false">
      <c r="A510" s="16" t="s">
        <v>50</v>
      </c>
      <c r="B510" s="17" t="n">
        <v>8</v>
      </c>
      <c r="C510" s="17" t="s">
        <v>69</v>
      </c>
      <c r="D510" s="16" t="s">
        <v>68</v>
      </c>
      <c r="E510" s="17" t="n">
        <v>11</v>
      </c>
      <c r="F510" s="26" t="n">
        <v>0.0458798393585162</v>
      </c>
      <c r="G510" s="17" t="n">
        <v>128</v>
      </c>
      <c r="H510" s="17" t="n">
        <v>1200</v>
      </c>
      <c r="I510" s="17"/>
      <c r="J510" s="17" t="n">
        <v>5</v>
      </c>
      <c r="K510" s="17"/>
      <c r="L510" s="17"/>
      <c r="M510" s="17"/>
      <c r="N510" s="27" t="str">
        <f aca="false">IF(F510=_xlfn.MINIFS($F$2:$F$948,$A$2:$A$948,$A510,$B$2:$B$948,$B510),"BEST","")</f>
        <v/>
      </c>
    </row>
    <row r="511" customFormat="false" ht="15" hidden="false" customHeight="false" outlineLevel="0" collapsed="false">
      <c r="A511" s="16" t="s">
        <v>50</v>
      </c>
      <c r="B511" s="17" t="n">
        <v>8</v>
      </c>
      <c r="C511" s="17" t="s">
        <v>69</v>
      </c>
      <c r="D511" s="16" t="s">
        <v>68</v>
      </c>
      <c r="E511" s="17" t="n">
        <v>12</v>
      </c>
      <c r="F511" s="26" t="n">
        <v>0.0380538820552573</v>
      </c>
      <c r="G511" s="17" t="n">
        <v>128</v>
      </c>
      <c r="H511" s="17" t="n">
        <v>1200</v>
      </c>
      <c r="I511" s="17"/>
      <c r="J511" s="17" t="n">
        <v>5</v>
      </c>
      <c r="K511" s="17"/>
      <c r="L511" s="17"/>
      <c r="M511" s="17"/>
      <c r="N511" s="27" t="str">
        <f aca="false">IF(F511=_xlfn.MINIFS($F$2:$F$948,$A$2:$A$948,$A511,$B$2:$B$948,$B511),"BEST","")</f>
        <v/>
      </c>
    </row>
    <row r="512" customFormat="false" ht="15" hidden="false" customHeight="false" outlineLevel="0" collapsed="false">
      <c r="A512" s="16" t="s">
        <v>50</v>
      </c>
      <c r="B512" s="17" t="n">
        <v>8</v>
      </c>
      <c r="C512" s="17" t="s">
        <v>69</v>
      </c>
      <c r="D512" s="16" t="s">
        <v>68</v>
      </c>
      <c r="E512" s="17" t="n">
        <v>13</v>
      </c>
      <c r="F512" s="26" t="n">
        <v>0.0478454261570401</v>
      </c>
      <c r="G512" s="17" t="n">
        <v>128</v>
      </c>
      <c r="H512" s="17" t="n">
        <v>1200</v>
      </c>
      <c r="I512" s="17"/>
      <c r="J512" s="17" t="n">
        <v>5</v>
      </c>
      <c r="K512" s="17"/>
      <c r="L512" s="17"/>
      <c r="M512" s="17"/>
      <c r="N512" s="27" t="str">
        <f aca="false">IF(F512=_xlfn.MINIFS($F$2:$F$948,$A$2:$A$948,$A512,$B$2:$B$948,$B512),"BEST","")</f>
        <v/>
      </c>
    </row>
    <row r="513" customFormat="false" ht="15" hidden="false" customHeight="false" outlineLevel="0" collapsed="false">
      <c r="A513" s="16" t="s">
        <v>50</v>
      </c>
      <c r="B513" s="17" t="n">
        <v>8</v>
      </c>
      <c r="C513" s="17" t="s">
        <v>69</v>
      </c>
      <c r="D513" s="16" t="s">
        <v>68</v>
      </c>
      <c r="E513" s="17" t="n">
        <v>14</v>
      </c>
      <c r="F513" s="26" t="n">
        <v>0.0569578822941516</v>
      </c>
      <c r="G513" s="17" t="n">
        <v>128</v>
      </c>
      <c r="H513" s="17" t="n">
        <v>1200</v>
      </c>
      <c r="I513" s="17"/>
      <c r="J513" s="17" t="n">
        <v>5</v>
      </c>
      <c r="K513" s="17"/>
      <c r="L513" s="17"/>
      <c r="M513" s="17"/>
      <c r="N513" s="27" t="str">
        <f aca="false">IF(F513=_xlfn.MINIFS($F$2:$F$948,$A$2:$A$948,$A513,$B$2:$B$948,$B513),"BEST","")</f>
        <v/>
      </c>
    </row>
    <row r="514" customFormat="false" ht="15" hidden="false" customHeight="false" outlineLevel="0" collapsed="false">
      <c r="A514" s="16" t="s">
        <v>50</v>
      </c>
      <c r="B514" s="17" t="n">
        <v>8</v>
      </c>
      <c r="C514" s="17" t="s">
        <v>69</v>
      </c>
      <c r="D514" s="16" t="s">
        <v>68</v>
      </c>
      <c r="E514" s="17" t="n">
        <v>15</v>
      </c>
      <c r="F514" s="26" t="n">
        <v>0.064339420401182</v>
      </c>
      <c r="G514" s="17" t="n">
        <v>128</v>
      </c>
      <c r="H514" s="17" t="n">
        <v>1200</v>
      </c>
      <c r="I514" s="17"/>
      <c r="J514" s="17" t="n">
        <v>5</v>
      </c>
      <c r="K514" s="17"/>
      <c r="L514" s="17"/>
      <c r="M514" s="17"/>
      <c r="N514" s="27" t="str">
        <f aca="false">IF(F514=_xlfn.MINIFS($F$2:$F$948,$A$2:$A$948,$A514,$B$2:$B$948,$B514),"BEST","")</f>
        <v/>
      </c>
    </row>
    <row r="515" customFormat="false" ht="15" hidden="false" customHeight="false" outlineLevel="0" collapsed="false">
      <c r="A515" s="16" t="s">
        <v>50</v>
      </c>
      <c r="B515" s="17" t="n">
        <v>8</v>
      </c>
      <c r="C515" s="17" t="s">
        <v>69</v>
      </c>
      <c r="D515" s="16" t="s">
        <v>68</v>
      </c>
      <c r="E515" s="17" t="n">
        <v>16</v>
      </c>
      <c r="F515" s="26" t="n">
        <v>0.0442043568953678</v>
      </c>
      <c r="G515" s="17" t="n">
        <v>128</v>
      </c>
      <c r="H515" s="17" t="n">
        <v>1200</v>
      </c>
      <c r="I515" s="17"/>
      <c r="J515" s="17" t="n">
        <v>5</v>
      </c>
      <c r="K515" s="17"/>
      <c r="L515" s="17"/>
      <c r="M515" s="17"/>
      <c r="N515" s="27" t="str">
        <f aca="false">IF(F515=_xlfn.MINIFS($F$2:$F$948,$A$2:$A$948,$A515,$B$2:$B$948,$B515),"BEST","")</f>
        <v/>
      </c>
    </row>
    <row r="516" customFormat="false" ht="15" hidden="false" customHeight="false" outlineLevel="0" collapsed="false">
      <c r="A516" s="16" t="s">
        <v>50</v>
      </c>
      <c r="B516" s="17" t="n">
        <v>8</v>
      </c>
      <c r="C516" s="17" t="s">
        <v>69</v>
      </c>
      <c r="D516" s="16" t="s">
        <v>68</v>
      </c>
      <c r="E516" s="17" t="n">
        <v>17</v>
      </c>
      <c r="F516" s="26" t="n">
        <v>0.067833460380139</v>
      </c>
      <c r="G516" s="17" t="n">
        <v>128</v>
      </c>
      <c r="H516" s="17" t="n">
        <v>1200</v>
      </c>
      <c r="I516" s="17"/>
      <c r="J516" s="17" t="n">
        <v>5</v>
      </c>
      <c r="K516" s="17"/>
      <c r="L516" s="17"/>
      <c r="M516" s="17"/>
      <c r="N516" s="27" t="str">
        <f aca="false">IF(F516=_xlfn.MINIFS($F$2:$F$948,$A$2:$A$948,$A516,$B$2:$B$948,$B516),"BEST","")</f>
        <v/>
      </c>
    </row>
    <row r="517" customFormat="false" ht="15" hidden="false" customHeight="false" outlineLevel="0" collapsed="false">
      <c r="A517" s="16" t="s">
        <v>50</v>
      </c>
      <c r="B517" s="17" t="n">
        <v>8</v>
      </c>
      <c r="C517" s="17" t="s">
        <v>69</v>
      </c>
      <c r="D517" s="16" t="s">
        <v>68</v>
      </c>
      <c r="E517" s="17" t="n">
        <v>18</v>
      </c>
      <c r="F517" s="26" t="n">
        <v>0.0597485875849334</v>
      </c>
      <c r="G517" s="17" t="n">
        <v>128</v>
      </c>
      <c r="H517" s="17" t="n">
        <v>1200</v>
      </c>
      <c r="I517" s="17"/>
      <c r="J517" s="17" t="n">
        <v>5</v>
      </c>
      <c r="K517" s="17"/>
      <c r="L517" s="17"/>
      <c r="M517" s="17"/>
      <c r="N517" s="27" t="str">
        <f aca="false">IF(F517=_xlfn.MINIFS($F$2:$F$948,$A$2:$A$948,$A517,$B$2:$B$948,$B517),"BEST","")</f>
        <v/>
      </c>
    </row>
    <row r="518" customFormat="false" ht="15" hidden="false" customHeight="false" outlineLevel="0" collapsed="false">
      <c r="A518" s="16" t="s">
        <v>50</v>
      </c>
      <c r="B518" s="17" t="n">
        <v>8</v>
      </c>
      <c r="C518" s="17" t="s">
        <v>69</v>
      </c>
      <c r="D518" s="16" t="s">
        <v>68</v>
      </c>
      <c r="E518" s="17" t="n">
        <v>19</v>
      </c>
      <c r="F518" s="26" t="n">
        <v>0.0711351638392491</v>
      </c>
      <c r="G518" s="17" t="n">
        <v>128</v>
      </c>
      <c r="H518" s="17" t="n">
        <v>1200</v>
      </c>
      <c r="I518" s="17"/>
      <c r="J518" s="17" t="n">
        <v>5</v>
      </c>
      <c r="K518" s="17"/>
      <c r="L518" s="17"/>
      <c r="M518" s="17"/>
      <c r="N518" s="27" t="str">
        <f aca="false">IF(F518=_xlfn.MINIFS($F$2:$F$948,$A$2:$A$948,$A518,$B$2:$B$948,$B518),"BEST","")</f>
        <v/>
      </c>
    </row>
    <row r="519" customFormat="false" ht="15" hidden="false" customHeight="false" outlineLevel="0" collapsed="false">
      <c r="A519" s="16" t="s">
        <v>50</v>
      </c>
      <c r="B519" s="17" t="n">
        <v>8</v>
      </c>
      <c r="C519" s="17" t="s">
        <v>70</v>
      </c>
      <c r="D519" s="16" t="s">
        <v>68</v>
      </c>
      <c r="E519" s="17" t="n">
        <v>0</v>
      </c>
      <c r="F519" s="26" t="n">
        <v>0.00167582496684734</v>
      </c>
      <c r="G519" s="17" t="n">
        <v>56</v>
      </c>
      <c r="H519" s="17" t="n">
        <v>1200</v>
      </c>
      <c r="I519" s="17"/>
      <c r="J519" s="17" t="n">
        <v>5</v>
      </c>
      <c r="K519" s="17"/>
      <c r="L519" s="17"/>
      <c r="M519" s="17" t="n">
        <v>3</v>
      </c>
      <c r="N519" s="27" t="str">
        <f aca="false">IF(F519=_xlfn.MINIFS($F$2:$F$948,$A$2:$A$948,$A519,$B$2:$B$948,$B519),"BEST","")</f>
        <v/>
      </c>
    </row>
    <row r="520" customFormat="false" ht="15" hidden="false" customHeight="false" outlineLevel="0" collapsed="false">
      <c r="A520" s="16" t="s">
        <v>50</v>
      </c>
      <c r="B520" s="17" t="n">
        <v>8</v>
      </c>
      <c r="C520" s="17" t="s">
        <v>70</v>
      </c>
      <c r="D520" s="16" t="s">
        <v>68</v>
      </c>
      <c r="E520" s="17" t="n">
        <v>1</v>
      </c>
      <c r="F520" s="26" t="n">
        <v>0.00167582496684734</v>
      </c>
      <c r="G520" s="17" t="n">
        <v>56</v>
      </c>
      <c r="H520" s="17" t="n">
        <v>1200</v>
      </c>
      <c r="I520" s="17"/>
      <c r="J520" s="17" t="n">
        <v>5</v>
      </c>
      <c r="K520" s="17"/>
      <c r="L520" s="17"/>
      <c r="M520" s="17" t="n">
        <v>3</v>
      </c>
      <c r="N520" s="27" t="str">
        <f aca="false">IF(F520=_xlfn.MINIFS($F$2:$F$948,$A$2:$A$948,$A520,$B$2:$B$948,$B520),"BEST","")</f>
        <v/>
      </c>
    </row>
    <row r="521" customFormat="false" ht="15" hidden="false" customHeight="false" outlineLevel="0" collapsed="false">
      <c r="A521" s="16" t="s">
        <v>50</v>
      </c>
      <c r="B521" s="17" t="n">
        <v>8</v>
      </c>
      <c r="C521" s="17" t="s">
        <v>70</v>
      </c>
      <c r="D521" s="16" t="s">
        <v>68</v>
      </c>
      <c r="E521" s="17" t="n">
        <v>2</v>
      </c>
      <c r="F521" s="26" t="n">
        <v>0.00167582496684734</v>
      </c>
      <c r="G521" s="17" t="n">
        <v>56</v>
      </c>
      <c r="H521" s="17" t="n">
        <v>1200</v>
      </c>
      <c r="I521" s="17"/>
      <c r="J521" s="17" t="n">
        <v>5</v>
      </c>
      <c r="K521" s="17"/>
      <c r="L521" s="17"/>
      <c r="M521" s="17" t="n">
        <v>3</v>
      </c>
      <c r="N521" s="27" t="str">
        <f aca="false">IF(F521=_xlfn.MINIFS($F$2:$F$948,$A$2:$A$948,$A521,$B$2:$B$948,$B521),"BEST","")</f>
        <v/>
      </c>
    </row>
    <row r="522" customFormat="false" ht="15" hidden="false" customHeight="false" outlineLevel="0" collapsed="false">
      <c r="A522" s="16" t="s">
        <v>50</v>
      </c>
      <c r="B522" s="17" t="n">
        <v>8</v>
      </c>
      <c r="C522" s="17" t="s">
        <v>70</v>
      </c>
      <c r="D522" s="16" t="s">
        <v>68</v>
      </c>
      <c r="E522" s="17" t="n">
        <v>3</v>
      </c>
      <c r="F522" s="26" t="n">
        <v>0.00167582496684734</v>
      </c>
      <c r="G522" s="17" t="n">
        <v>56</v>
      </c>
      <c r="H522" s="17" t="n">
        <v>1200</v>
      </c>
      <c r="I522" s="17"/>
      <c r="J522" s="17" t="n">
        <v>5</v>
      </c>
      <c r="K522" s="17"/>
      <c r="L522" s="17"/>
      <c r="M522" s="17" t="n">
        <v>3</v>
      </c>
      <c r="N522" s="27" t="str">
        <f aca="false">IF(F522=_xlfn.MINIFS($F$2:$F$948,$A$2:$A$948,$A522,$B$2:$B$948,$B522),"BEST","")</f>
        <v/>
      </c>
    </row>
    <row r="523" customFormat="false" ht="15" hidden="false" customHeight="false" outlineLevel="0" collapsed="false">
      <c r="A523" s="16" t="s">
        <v>50</v>
      </c>
      <c r="B523" s="17" t="n">
        <v>8</v>
      </c>
      <c r="C523" s="17" t="s">
        <v>70</v>
      </c>
      <c r="D523" s="16" t="s">
        <v>68</v>
      </c>
      <c r="E523" s="17" t="n">
        <v>4</v>
      </c>
      <c r="F523" s="26" t="n">
        <v>0.00167582496684734</v>
      </c>
      <c r="G523" s="17" t="n">
        <v>56</v>
      </c>
      <c r="H523" s="17" t="n">
        <v>1200</v>
      </c>
      <c r="I523" s="17"/>
      <c r="J523" s="17" t="n">
        <v>5</v>
      </c>
      <c r="K523" s="17"/>
      <c r="L523" s="17"/>
      <c r="M523" s="17" t="n">
        <v>3</v>
      </c>
      <c r="N523" s="27" t="str">
        <f aca="false">IF(F523=_xlfn.MINIFS($F$2:$F$948,$A$2:$A$948,$A523,$B$2:$B$948,$B523),"BEST","")</f>
        <v/>
      </c>
    </row>
    <row r="524" customFormat="false" ht="15" hidden="false" customHeight="false" outlineLevel="0" collapsed="false">
      <c r="A524" s="16" t="s">
        <v>50</v>
      </c>
      <c r="B524" s="17" t="n">
        <v>8</v>
      </c>
      <c r="C524" s="17" t="s">
        <v>70</v>
      </c>
      <c r="D524" s="16" t="s">
        <v>68</v>
      </c>
      <c r="E524" s="17" t="n">
        <v>5</v>
      </c>
      <c r="F524" s="26" t="n">
        <v>0.00167582496684734</v>
      </c>
      <c r="G524" s="17" t="n">
        <v>56</v>
      </c>
      <c r="H524" s="17" t="n">
        <v>1200</v>
      </c>
      <c r="I524" s="17"/>
      <c r="J524" s="17" t="n">
        <v>5</v>
      </c>
      <c r="K524" s="17"/>
      <c r="L524" s="17"/>
      <c r="M524" s="17" t="n">
        <v>3</v>
      </c>
      <c r="N524" s="27" t="str">
        <f aca="false">IF(F524=_xlfn.MINIFS($F$2:$F$948,$A$2:$A$948,$A524,$B$2:$B$948,$B524),"BEST","")</f>
        <v/>
      </c>
    </row>
    <row r="525" customFormat="false" ht="15" hidden="false" customHeight="false" outlineLevel="0" collapsed="false">
      <c r="A525" s="16" t="s">
        <v>50</v>
      </c>
      <c r="B525" s="17" t="n">
        <v>8</v>
      </c>
      <c r="C525" s="17" t="s">
        <v>70</v>
      </c>
      <c r="D525" s="16" t="s">
        <v>68</v>
      </c>
      <c r="E525" s="17" t="n">
        <v>6</v>
      </c>
      <c r="F525" s="26" t="n">
        <v>0.00167582496684734</v>
      </c>
      <c r="G525" s="17" t="n">
        <v>56</v>
      </c>
      <c r="H525" s="17" t="n">
        <v>1200</v>
      </c>
      <c r="I525" s="17"/>
      <c r="J525" s="17" t="n">
        <v>5</v>
      </c>
      <c r="K525" s="17"/>
      <c r="L525" s="17"/>
      <c r="M525" s="17" t="n">
        <v>3</v>
      </c>
      <c r="N525" s="27" t="str">
        <f aca="false">IF(F525=_xlfn.MINIFS($F$2:$F$948,$A$2:$A$948,$A525,$B$2:$B$948,$B525),"BEST","")</f>
        <v/>
      </c>
    </row>
    <row r="526" customFormat="false" ht="15" hidden="false" customHeight="false" outlineLevel="0" collapsed="false">
      <c r="A526" s="16" t="s">
        <v>50</v>
      </c>
      <c r="B526" s="17" t="n">
        <v>8</v>
      </c>
      <c r="C526" s="17" t="s">
        <v>70</v>
      </c>
      <c r="D526" s="16" t="s">
        <v>68</v>
      </c>
      <c r="E526" s="17" t="n">
        <v>7</v>
      </c>
      <c r="F526" s="26" t="n">
        <v>0.00167582496684734</v>
      </c>
      <c r="G526" s="17" t="n">
        <v>56</v>
      </c>
      <c r="H526" s="17" t="n">
        <v>1200</v>
      </c>
      <c r="I526" s="17"/>
      <c r="J526" s="17" t="n">
        <v>5</v>
      </c>
      <c r="K526" s="17"/>
      <c r="L526" s="17"/>
      <c r="M526" s="17" t="n">
        <v>3</v>
      </c>
      <c r="N526" s="27" t="str">
        <f aca="false">IF(F526=_xlfn.MINIFS($F$2:$F$948,$A$2:$A$948,$A526,$B$2:$B$948,$B526),"BEST","")</f>
        <v/>
      </c>
    </row>
    <row r="527" customFormat="false" ht="15" hidden="false" customHeight="false" outlineLevel="0" collapsed="false">
      <c r="A527" s="16" t="s">
        <v>50</v>
      </c>
      <c r="B527" s="17" t="n">
        <v>8</v>
      </c>
      <c r="C527" s="17" t="s">
        <v>70</v>
      </c>
      <c r="D527" s="16" t="s">
        <v>68</v>
      </c>
      <c r="E527" s="17" t="n">
        <v>8</v>
      </c>
      <c r="F527" s="26" t="n">
        <v>0.00167582496684734</v>
      </c>
      <c r="G527" s="17" t="n">
        <v>56</v>
      </c>
      <c r="H527" s="17" t="n">
        <v>1200</v>
      </c>
      <c r="I527" s="17"/>
      <c r="J527" s="17" t="n">
        <v>5</v>
      </c>
      <c r="K527" s="17"/>
      <c r="L527" s="17"/>
      <c r="M527" s="17" t="n">
        <v>3</v>
      </c>
      <c r="N527" s="27" t="str">
        <f aca="false">IF(F527=_xlfn.MINIFS($F$2:$F$948,$A$2:$A$948,$A527,$B$2:$B$948,$B527),"BEST","")</f>
        <v/>
      </c>
    </row>
    <row r="528" customFormat="false" ht="15" hidden="false" customHeight="false" outlineLevel="0" collapsed="false">
      <c r="A528" s="16" t="s">
        <v>50</v>
      </c>
      <c r="B528" s="17" t="n">
        <v>8</v>
      </c>
      <c r="C528" s="17" t="s">
        <v>70</v>
      </c>
      <c r="D528" s="16" t="s">
        <v>68</v>
      </c>
      <c r="E528" s="17" t="n">
        <v>9</v>
      </c>
      <c r="F528" s="26" t="n">
        <v>0.00167582496684734</v>
      </c>
      <c r="G528" s="17" t="n">
        <v>56</v>
      </c>
      <c r="H528" s="17" t="n">
        <v>1200</v>
      </c>
      <c r="I528" s="17"/>
      <c r="J528" s="17" t="n">
        <v>5</v>
      </c>
      <c r="K528" s="17"/>
      <c r="L528" s="17"/>
      <c r="M528" s="17" t="n">
        <v>3</v>
      </c>
      <c r="N528" s="27" t="str">
        <f aca="false">IF(F528=_xlfn.MINIFS($F$2:$F$948,$A$2:$A$948,$A528,$B$2:$B$948,$B528),"BEST","")</f>
        <v/>
      </c>
    </row>
    <row r="529" customFormat="false" ht="15" hidden="false" customHeight="false" outlineLevel="0" collapsed="false">
      <c r="A529" s="16" t="s">
        <v>50</v>
      </c>
      <c r="B529" s="17" t="n">
        <v>8</v>
      </c>
      <c r="C529" s="17" t="s">
        <v>70</v>
      </c>
      <c r="D529" s="16" t="s">
        <v>68</v>
      </c>
      <c r="E529" s="17" t="n">
        <v>10</v>
      </c>
      <c r="F529" s="26" t="n">
        <v>0.00167582496684734</v>
      </c>
      <c r="G529" s="17" t="n">
        <v>56</v>
      </c>
      <c r="H529" s="17" t="n">
        <v>1200</v>
      </c>
      <c r="I529" s="17"/>
      <c r="J529" s="17" t="n">
        <v>5</v>
      </c>
      <c r="K529" s="17"/>
      <c r="L529" s="17"/>
      <c r="M529" s="17" t="n">
        <v>3</v>
      </c>
      <c r="N529" s="27" t="str">
        <f aca="false">IF(F529=_xlfn.MINIFS($F$2:$F$948,$A$2:$A$948,$A529,$B$2:$B$948,$B529),"BEST","")</f>
        <v/>
      </c>
    </row>
    <row r="530" customFormat="false" ht="15" hidden="false" customHeight="false" outlineLevel="0" collapsed="false">
      <c r="A530" s="16" t="s">
        <v>50</v>
      </c>
      <c r="B530" s="17" t="n">
        <v>8</v>
      </c>
      <c r="C530" s="17" t="s">
        <v>70</v>
      </c>
      <c r="D530" s="16" t="s">
        <v>68</v>
      </c>
      <c r="E530" s="17" t="n">
        <v>11</v>
      </c>
      <c r="F530" s="26" t="n">
        <v>0.00167582496684734</v>
      </c>
      <c r="G530" s="17" t="n">
        <v>56</v>
      </c>
      <c r="H530" s="17" t="n">
        <v>1200</v>
      </c>
      <c r="I530" s="17"/>
      <c r="J530" s="17" t="n">
        <v>5</v>
      </c>
      <c r="K530" s="17"/>
      <c r="L530" s="17"/>
      <c r="M530" s="17" t="n">
        <v>3</v>
      </c>
      <c r="N530" s="27" t="str">
        <f aca="false">IF(F530=_xlfn.MINIFS($F$2:$F$948,$A$2:$A$948,$A530,$B$2:$B$948,$B530),"BEST","")</f>
        <v/>
      </c>
    </row>
    <row r="531" customFormat="false" ht="15" hidden="false" customHeight="false" outlineLevel="0" collapsed="false">
      <c r="A531" s="16" t="s">
        <v>50</v>
      </c>
      <c r="B531" s="17" t="n">
        <v>8</v>
      </c>
      <c r="C531" s="17" t="s">
        <v>70</v>
      </c>
      <c r="D531" s="16" t="s">
        <v>68</v>
      </c>
      <c r="E531" s="17" t="n">
        <v>12</v>
      </c>
      <c r="F531" s="26" t="n">
        <v>0.00167582496684734</v>
      </c>
      <c r="G531" s="17" t="n">
        <v>56</v>
      </c>
      <c r="H531" s="17" t="n">
        <v>1200</v>
      </c>
      <c r="I531" s="17"/>
      <c r="J531" s="17" t="n">
        <v>5</v>
      </c>
      <c r="K531" s="17"/>
      <c r="L531" s="17"/>
      <c r="M531" s="17" t="n">
        <v>3</v>
      </c>
      <c r="N531" s="27" t="str">
        <f aca="false">IF(F531=_xlfn.MINIFS($F$2:$F$948,$A$2:$A$948,$A531,$B$2:$B$948,$B531),"BEST","")</f>
        <v/>
      </c>
    </row>
    <row r="532" customFormat="false" ht="15" hidden="false" customHeight="false" outlineLevel="0" collapsed="false">
      <c r="A532" s="16" t="s">
        <v>50</v>
      </c>
      <c r="B532" s="17" t="n">
        <v>8</v>
      </c>
      <c r="C532" s="17" t="s">
        <v>70</v>
      </c>
      <c r="D532" s="16" t="s">
        <v>68</v>
      </c>
      <c r="E532" s="17" t="n">
        <v>13</v>
      </c>
      <c r="F532" s="26" t="n">
        <v>0.00167582496684734</v>
      </c>
      <c r="G532" s="17" t="n">
        <v>56</v>
      </c>
      <c r="H532" s="17" t="n">
        <v>1200</v>
      </c>
      <c r="I532" s="17"/>
      <c r="J532" s="17" t="n">
        <v>5</v>
      </c>
      <c r="K532" s="17"/>
      <c r="L532" s="17"/>
      <c r="M532" s="17" t="n">
        <v>3</v>
      </c>
      <c r="N532" s="27" t="str">
        <f aca="false">IF(F532=_xlfn.MINIFS($F$2:$F$948,$A$2:$A$948,$A532,$B$2:$B$948,$B532),"BEST","")</f>
        <v/>
      </c>
    </row>
    <row r="533" customFormat="false" ht="15" hidden="false" customHeight="false" outlineLevel="0" collapsed="false">
      <c r="A533" s="16" t="s">
        <v>50</v>
      </c>
      <c r="B533" s="17" t="n">
        <v>8</v>
      </c>
      <c r="C533" s="17" t="s">
        <v>70</v>
      </c>
      <c r="D533" s="16" t="s">
        <v>68</v>
      </c>
      <c r="E533" s="17" t="n">
        <v>14</v>
      </c>
      <c r="F533" s="26" t="n">
        <v>0.00167582496684734</v>
      </c>
      <c r="G533" s="17" t="n">
        <v>56</v>
      </c>
      <c r="H533" s="17" t="n">
        <v>1200</v>
      </c>
      <c r="I533" s="17"/>
      <c r="J533" s="17" t="n">
        <v>5</v>
      </c>
      <c r="K533" s="17"/>
      <c r="L533" s="17"/>
      <c r="M533" s="17" t="n">
        <v>3</v>
      </c>
      <c r="N533" s="27" t="str">
        <f aca="false">IF(F533=_xlfn.MINIFS($F$2:$F$948,$A$2:$A$948,$A533,$B$2:$B$948,$B533),"BEST","")</f>
        <v/>
      </c>
    </row>
    <row r="534" customFormat="false" ht="15" hidden="false" customHeight="false" outlineLevel="0" collapsed="false">
      <c r="A534" s="16" t="s">
        <v>50</v>
      </c>
      <c r="B534" s="17" t="n">
        <v>8</v>
      </c>
      <c r="C534" s="17" t="s">
        <v>70</v>
      </c>
      <c r="D534" s="16" t="s">
        <v>68</v>
      </c>
      <c r="E534" s="17" t="n">
        <v>15</v>
      </c>
      <c r="F534" s="26" t="n">
        <v>0.00167582496684734</v>
      </c>
      <c r="G534" s="17" t="n">
        <v>56</v>
      </c>
      <c r="H534" s="17" t="n">
        <v>1200</v>
      </c>
      <c r="I534" s="17"/>
      <c r="J534" s="17" t="n">
        <v>5</v>
      </c>
      <c r="K534" s="17"/>
      <c r="L534" s="17"/>
      <c r="M534" s="17" t="n">
        <v>3</v>
      </c>
      <c r="N534" s="27" t="str">
        <f aca="false">IF(F534=_xlfn.MINIFS($F$2:$F$948,$A$2:$A$948,$A534,$B$2:$B$948,$B534),"BEST","")</f>
        <v/>
      </c>
    </row>
    <row r="535" customFormat="false" ht="15" hidden="false" customHeight="false" outlineLevel="0" collapsed="false">
      <c r="A535" s="16" t="s">
        <v>50</v>
      </c>
      <c r="B535" s="17" t="n">
        <v>8</v>
      </c>
      <c r="C535" s="17" t="s">
        <v>70</v>
      </c>
      <c r="D535" s="16" t="s">
        <v>68</v>
      </c>
      <c r="E535" s="17" t="n">
        <v>16</v>
      </c>
      <c r="F535" s="26" t="n">
        <v>0.00167582496684734</v>
      </c>
      <c r="G535" s="17" t="n">
        <v>56</v>
      </c>
      <c r="H535" s="17" t="n">
        <v>1200</v>
      </c>
      <c r="I535" s="17"/>
      <c r="J535" s="17" t="n">
        <v>5</v>
      </c>
      <c r="K535" s="17"/>
      <c r="L535" s="17"/>
      <c r="M535" s="17" t="n">
        <v>3</v>
      </c>
      <c r="N535" s="27" t="str">
        <f aca="false">IF(F535=_xlfn.MINIFS($F$2:$F$948,$A$2:$A$948,$A535,$B$2:$B$948,$B535),"BEST","")</f>
        <v/>
      </c>
    </row>
    <row r="536" customFormat="false" ht="15" hidden="false" customHeight="false" outlineLevel="0" collapsed="false">
      <c r="A536" s="16" t="s">
        <v>50</v>
      </c>
      <c r="B536" s="17" t="n">
        <v>8</v>
      </c>
      <c r="C536" s="17" t="s">
        <v>70</v>
      </c>
      <c r="D536" s="16" t="s">
        <v>68</v>
      </c>
      <c r="E536" s="17" t="n">
        <v>17</v>
      </c>
      <c r="F536" s="26" t="n">
        <v>0.00167582496684734</v>
      </c>
      <c r="G536" s="17" t="n">
        <v>56</v>
      </c>
      <c r="H536" s="17" t="n">
        <v>1200</v>
      </c>
      <c r="I536" s="17"/>
      <c r="J536" s="17" t="n">
        <v>5</v>
      </c>
      <c r="K536" s="17"/>
      <c r="L536" s="17"/>
      <c r="M536" s="17" t="n">
        <v>3</v>
      </c>
      <c r="N536" s="27" t="str">
        <f aca="false">IF(F536=_xlfn.MINIFS($F$2:$F$948,$A$2:$A$948,$A536,$B$2:$B$948,$B536),"BEST","")</f>
        <v/>
      </c>
    </row>
    <row r="537" customFormat="false" ht="15" hidden="false" customHeight="false" outlineLevel="0" collapsed="false">
      <c r="A537" s="16" t="s">
        <v>50</v>
      </c>
      <c r="B537" s="17" t="n">
        <v>8</v>
      </c>
      <c r="C537" s="17" t="s">
        <v>70</v>
      </c>
      <c r="D537" s="16" t="s">
        <v>68</v>
      </c>
      <c r="E537" s="17" t="n">
        <v>18</v>
      </c>
      <c r="F537" s="26" t="n">
        <v>0.00167582496684734</v>
      </c>
      <c r="G537" s="17" t="n">
        <v>56</v>
      </c>
      <c r="H537" s="17" t="n">
        <v>1200</v>
      </c>
      <c r="I537" s="17"/>
      <c r="J537" s="17" t="n">
        <v>5</v>
      </c>
      <c r="K537" s="17"/>
      <c r="L537" s="17"/>
      <c r="M537" s="17" t="n">
        <v>3</v>
      </c>
      <c r="N537" s="27" t="str">
        <f aca="false">IF(F537=_xlfn.MINIFS($F$2:$F$948,$A$2:$A$948,$A537,$B$2:$B$948,$B537),"BEST","")</f>
        <v/>
      </c>
    </row>
    <row r="538" customFormat="false" ht="15" hidden="false" customHeight="false" outlineLevel="0" collapsed="false">
      <c r="A538" s="16" t="s">
        <v>50</v>
      </c>
      <c r="B538" s="17" t="n">
        <v>8</v>
      </c>
      <c r="C538" s="17" t="s">
        <v>70</v>
      </c>
      <c r="D538" s="16" t="s">
        <v>68</v>
      </c>
      <c r="E538" s="17" t="n">
        <v>19</v>
      </c>
      <c r="F538" s="26" t="n">
        <v>0.00167582496684734</v>
      </c>
      <c r="G538" s="17" t="n">
        <v>56</v>
      </c>
      <c r="H538" s="17" t="n">
        <v>1200</v>
      </c>
      <c r="I538" s="17"/>
      <c r="J538" s="17" t="n">
        <v>5</v>
      </c>
      <c r="K538" s="17"/>
      <c r="L538" s="17"/>
      <c r="M538" s="17" t="n">
        <v>3</v>
      </c>
      <c r="N538" s="27" t="str">
        <f aca="false">IF(F538=_xlfn.MINIFS($F$2:$F$948,$A$2:$A$948,$A538,$B$2:$B$948,$B538),"BEST","")</f>
        <v/>
      </c>
    </row>
    <row r="539" customFormat="false" ht="15" hidden="false" customHeight="false" outlineLevel="0" collapsed="false">
      <c r="A539" s="22" t="s">
        <v>50</v>
      </c>
      <c r="B539" s="23" t="n">
        <v>8</v>
      </c>
      <c r="C539" s="23" t="s">
        <v>71</v>
      </c>
      <c r="D539" s="22" t="s">
        <v>72</v>
      </c>
      <c r="E539" s="23" t="n">
        <v>0</v>
      </c>
      <c r="F539" s="28" t="n">
        <v>0.0136344314884338</v>
      </c>
      <c r="G539" s="23" t="n">
        <v>128</v>
      </c>
      <c r="H539" s="23" t="n">
        <v>1200</v>
      </c>
      <c r="I539" s="23" t="n">
        <v>4</v>
      </c>
      <c r="J539" s="23" t="n">
        <v>5</v>
      </c>
      <c r="K539" s="22" t="s">
        <v>73</v>
      </c>
      <c r="L539" s="22" t="s">
        <v>74</v>
      </c>
      <c r="M539" s="23"/>
      <c r="N539" s="27" t="str">
        <f aca="false">IF(F539=_xlfn.MINIFS($F$2:$F$948,$A$2:$A$948,$A539,$B$2:$B$948,$B539),"BEST","")</f>
        <v/>
      </c>
    </row>
    <row r="540" customFormat="false" ht="15" hidden="false" customHeight="false" outlineLevel="0" collapsed="false">
      <c r="A540" s="22" t="s">
        <v>50</v>
      </c>
      <c r="B540" s="23" t="n">
        <v>8</v>
      </c>
      <c r="C540" s="23" t="s">
        <v>71</v>
      </c>
      <c r="D540" s="22" t="s">
        <v>72</v>
      </c>
      <c r="E540" s="23" t="n">
        <v>1</v>
      </c>
      <c r="F540" s="28" t="n">
        <v>0.020724538815909</v>
      </c>
      <c r="G540" s="23" t="n">
        <v>128</v>
      </c>
      <c r="H540" s="23" t="n">
        <v>1200</v>
      </c>
      <c r="I540" s="23" t="n">
        <v>4</v>
      </c>
      <c r="J540" s="23" t="n">
        <v>5</v>
      </c>
      <c r="K540" s="22" t="s">
        <v>73</v>
      </c>
      <c r="L540" s="22" t="s">
        <v>74</v>
      </c>
      <c r="M540" s="23"/>
      <c r="N540" s="27" t="str">
        <f aca="false">IF(F540=_xlfn.MINIFS($F$2:$F$948,$A$2:$A$948,$A540,$B$2:$B$948,$B540),"BEST","")</f>
        <v/>
      </c>
    </row>
    <row r="541" customFormat="false" ht="15" hidden="false" customHeight="false" outlineLevel="0" collapsed="false">
      <c r="A541" s="22" t="s">
        <v>50</v>
      </c>
      <c r="B541" s="23" t="n">
        <v>8</v>
      </c>
      <c r="C541" s="23" t="s">
        <v>71</v>
      </c>
      <c r="D541" s="22" t="s">
        <v>72</v>
      </c>
      <c r="E541" s="23" t="n">
        <v>2</v>
      </c>
      <c r="F541" s="28" t="n">
        <v>0.010772627980274</v>
      </c>
      <c r="G541" s="23" t="n">
        <v>128</v>
      </c>
      <c r="H541" s="23" t="n">
        <v>1200</v>
      </c>
      <c r="I541" s="23" t="n">
        <v>4</v>
      </c>
      <c r="J541" s="23" t="n">
        <v>5</v>
      </c>
      <c r="K541" s="22" t="s">
        <v>73</v>
      </c>
      <c r="L541" s="22" t="s">
        <v>74</v>
      </c>
      <c r="M541" s="23"/>
      <c r="N541" s="27" t="str">
        <f aca="false">IF(F541=_xlfn.MINIFS($F$2:$F$948,$A$2:$A$948,$A541,$B$2:$B$948,$B541),"BEST","")</f>
        <v/>
      </c>
    </row>
    <row r="542" customFormat="false" ht="15" hidden="false" customHeight="false" outlineLevel="0" collapsed="false">
      <c r="A542" s="22" t="s">
        <v>50</v>
      </c>
      <c r="B542" s="23" t="n">
        <v>8</v>
      </c>
      <c r="C542" s="23" t="s">
        <v>71</v>
      </c>
      <c r="D542" s="22" t="s">
        <v>72</v>
      </c>
      <c r="E542" s="23" t="n">
        <v>3</v>
      </c>
      <c r="F542" s="28" t="n">
        <v>0.0101127463011861</v>
      </c>
      <c r="G542" s="23" t="n">
        <v>128</v>
      </c>
      <c r="H542" s="23" t="n">
        <v>1200</v>
      </c>
      <c r="I542" s="23" t="n">
        <v>4</v>
      </c>
      <c r="J542" s="23" t="n">
        <v>5</v>
      </c>
      <c r="K542" s="22" t="s">
        <v>73</v>
      </c>
      <c r="L542" s="22" t="s">
        <v>74</v>
      </c>
      <c r="M542" s="23"/>
      <c r="N542" s="27" t="str">
        <f aca="false">IF(F542=_xlfn.MINIFS($F$2:$F$948,$A$2:$A$948,$A542,$B$2:$B$948,$B542),"BEST","")</f>
        <v/>
      </c>
    </row>
    <row r="543" customFormat="false" ht="15" hidden="false" customHeight="false" outlineLevel="0" collapsed="false">
      <c r="A543" s="22" t="s">
        <v>50</v>
      </c>
      <c r="B543" s="23" t="n">
        <v>8</v>
      </c>
      <c r="C543" s="23" t="s">
        <v>71</v>
      </c>
      <c r="D543" s="22" t="s">
        <v>72</v>
      </c>
      <c r="E543" s="23" t="n">
        <v>4</v>
      </c>
      <c r="F543" s="28" t="n">
        <v>0.0103981721354104</v>
      </c>
      <c r="G543" s="23" t="n">
        <v>128</v>
      </c>
      <c r="H543" s="23" t="n">
        <v>1200</v>
      </c>
      <c r="I543" s="23" t="n">
        <v>4</v>
      </c>
      <c r="J543" s="23" t="n">
        <v>5</v>
      </c>
      <c r="K543" s="22" t="s">
        <v>73</v>
      </c>
      <c r="L543" s="22" t="s">
        <v>74</v>
      </c>
      <c r="M543" s="23"/>
      <c r="N543" s="27" t="str">
        <f aca="false">IF(F543=_xlfn.MINIFS($F$2:$F$948,$A$2:$A$948,$A543,$B$2:$B$948,$B543),"BEST","")</f>
        <v/>
      </c>
    </row>
    <row r="544" customFormat="false" ht="15" hidden="false" customHeight="false" outlineLevel="0" collapsed="false">
      <c r="A544" s="22" t="s">
        <v>50</v>
      </c>
      <c r="B544" s="23" t="n">
        <v>8</v>
      </c>
      <c r="C544" s="23" t="s">
        <v>71</v>
      </c>
      <c r="D544" s="22" t="s">
        <v>72</v>
      </c>
      <c r="E544" s="23" t="n">
        <v>5</v>
      </c>
      <c r="F544" s="28" t="n">
        <v>0.0105666109006757</v>
      </c>
      <c r="G544" s="23" t="n">
        <v>128</v>
      </c>
      <c r="H544" s="23" t="n">
        <v>1200</v>
      </c>
      <c r="I544" s="23" t="n">
        <v>4</v>
      </c>
      <c r="J544" s="23" t="n">
        <v>5</v>
      </c>
      <c r="K544" s="22" t="s">
        <v>73</v>
      </c>
      <c r="L544" s="22" t="s">
        <v>74</v>
      </c>
      <c r="M544" s="23"/>
      <c r="N544" s="27" t="str">
        <f aca="false">IF(F544=_xlfn.MINIFS($F$2:$F$948,$A$2:$A$948,$A544,$B$2:$B$948,$B544),"BEST","")</f>
        <v/>
      </c>
    </row>
    <row r="545" customFormat="false" ht="15" hidden="false" customHeight="false" outlineLevel="0" collapsed="false">
      <c r="A545" s="22" t="s">
        <v>50</v>
      </c>
      <c r="B545" s="23" t="n">
        <v>8</v>
      </c>
      <c r="C545" s="23" t="s">
        <v>71</v>
      </c>
      <c r="D545" s="22" t="s">
        <v>72</v>
      </c>
      <c r="E545" s="23" t="n">
        <v>6</v>
      </c>
      <c r="F545" s="28" t="n">
        <v>0.0161982074659357</v>
      </c>
      <c r="G545" s="23" t="n">
        <v>128</v>
      </c>
      <c r="H545" s="23" t="n">
        <v>1200</v>
      </c>
      <c r="I545" s="23" t="n">
        <v>4</v>
      </c>
      <c r="J545" s="23" t="n">
        <v>5</v>
      </c>
      <c r="K545" s="22" t="s">
        <v>73</v>
      </c>
      <c r="L545" s="22" t="s">
        <v>74</v>
      </c>
      <c r="M545" s="23"/>
      <c r="N545" s="27" t="str">
        <f aca="false">IF(F545=_xlfn.MINIFS($F$2:$F$948,$A$2:$A$948,$A545,$B$2:$B$948,$B545),"BEST","")</f>
        <v/>
      </c>
    </row>
    <row r="546" customFormat="false" ht="15" hidden="false" customHeight="false" outlineLevel="0" collapsed="false">
      <c r="A546" s="22" t="s">
        <v>50</v>
      </c>
      <c r="B546" s="23" t="n">
        <v>8</v>
      </c>
      <c r="C546" s="23" t="s">
        <v>71</v>
      </c>
      <c r="D546" s="22" t="s">
        <v>72</v>
      </c>
      <c r="E546" s="23" t="n">
        <v>7</v>
      </c>
      <c r="F546" s="28" t="n">
        <v>0.0139201955233153</v>
      </c>
      <c r="G546" s="23" t="n">
        <v>128</v>
      </c>
      <c r="H546" s="23" t="n">
        <v>1200</v>
      </c>
      <c r="I546" s="23" t="n">
        <v>4</v>
      </c>
      <c r="J546" s="23" t="n">
        <v>5</v>
      </c>
      <c r="K546" s="22" t="s">
        <v>73</v>
      </c>
      <c r="L546" s="22" t="s">
        <v>74</v>
      </c>
      <c r="M546" s="23"/>
      <c r="N546" s="27" t="str">
        <f aca="false">IF(F546=_xlfn.MINIFS($F$2:$F$948,$A$2:$A$948,$A546,$B$2:$B$948,$B546),"BEST","")</f>
        <v/>
      </c>
    </row>
    <row r="547" customFormat="false" ht="15" hidden="false" customHeight="false" outlineLevel="0" collapsed="false">
      <c r="A547" s="22" t="s">
        <v>50</v>
      </c>
      <c r="B547" s="23" t="n">
        <v>8</v>
      </c>
      <c r="C547" s="23" t="s">
        <v>71</v>
      </c>
      <c r="D547" s="22" t="s">
        <v>72</v>
      </c>
      <c r="E547" s="23" t="n">
        <v>8</v>
      </c>
      <c r="F547" s="28" t="n">
        <v>0.0157532469150495</v>
      </c>
      <c r="G547" s="23" t="n">
        <v>128</v>
      </c>
      <c r="H547" s="23" t="n">
        <v>1200</v>
      </c>
      <c r="I547" s="23" t="n">
        <v>4</v>
      </c>
      <c r="J547" s="23" t="n">
        <v>5</v>
      </c>
      <c r="K547" s="22" t="s">
        <v>73</v>
      </c>
      <c r="L547" s="22" t="s">
        <v>74</v>
      </c>
      <c r="M547" s="23"/>
      <c r="N547" s="27" t="str">
        <f aca="false">IF(F547=_xlfn.MINIFS($F$2:$F$948,$A$2:$A$948,$A547,$B$2:$B$948,$B547),"BEST","")</f>
        <v/>
      </c>
    </row>
    <row r="548" customFormat="false" ht="15" hidden="false" customHeight="false" outlineLevel="0" collapsed="false">
      <c r="A548" s="22" t="s">
        <v>50</v>
      </c>
      <c r="B548" s="23" t="n">
        <v>8</v>
      </c>
      <c r="C548" s="23" t="s">
        <v>71</v>
      </c>
      <c r="D548" s="22" t="s">
        <v>72</v>
      </c>
      <c r="E548" s="23" t="n">
        <v>9</v>
      </c>
      <c r="F548" s="28" t="n">
        <v>0.0103510000032623</v>
      </c>
      <c r="G548" s="23" t="n">
        <v>128</v>
      </c>
      <c r="H548" s="23" t="n">
        <v>1200</v>
      </c>
      <c r="I548" s="23" t="n">
        <v>4</v>
      </c>
      <c r="J548" s="23" t="n">
        <v>5</v>
      </c>
      <c r="K548" s="22" t="s">
        <v>73</v>
      </c>
      <c r="L548" s="22" t="s">
        <v>74</v>
      </c>
      <c r="M548" s="23"/>
      <c r="N548" s="27" t="str">
        <f aca="false">IF(F548=_xlfn.MINIFS($F$2:$F$948,$A$2:$A$948,$A548,$B$2:$B$948,$B548),"BEST","")</f>
        <v/>
      </c>
    </row>
    <row r="549" customFormat="false" ht="15" hidden="false" customHeight="false" outlineLevel="0" collapsed="false">
      <c r="A549" s="16" t="s">
        <v>50</v>
      </c>
      <c r="B549" s="17" t="n">
        <v>10</v>
      </c>
      <c r="C549" s="17" t="s">
        <v>67</v>
      </c>
      <c r="D549" s="16" t="s">
        <v>68</v>
      </c>
      <c r="E549" s="17" t="n">
        <v>0</v>
      </c>
      <c r="F549" s="26" t="n">
        <v>0.00134865491253603</v>
      </c>
      <c r="G549" s="17" t="n">
        <v>160</v>
      </c>
      <c r="H549" s="17" t="n">
        <v>600</v>
      </c>
      <c r="I549" s="17"/>
      <c r="J549" s="17" t="n">
        <v>5</v>
      </c>
      <c r="K549" s="17"/>
      <c r="L549" s="17"/>
      <c r="M549" s="17"/>
      <c r="N549" s="27" t="str">
        <f aca="false">IF(F549=_xlfn.MINIFS($F$2:$F$948,$A$2:$A$948,$A549,$B$2:$B$948,$B549),"BEST","")</f>
        <v/>
      </c>
    </row>
    <row r="550" customFormat="false" ht="15" hidden="false" customHeight="false" outlineLevel="0" collapsed="false">
      <c r="A550" s="16" t="s">
        <v>50</v>
      </c>
      <c r="B550" s="17" t="n">
        <v>10</v>
      </c>
      <c r="C550" s="17" t="s">
        <v>67</v>
      </c>
      <c r="D550" s="16" t="s">
        <v>68</v>
      </c>
      <c r="E550" s="17" t="n">
        <v>1</v>
      </c>
      <c r="F550" s="26" t="n">
        <v>0.00119845640648125</v>
      </c>
      <c r="G550" s="17" t="n">
        <v>160</v>
      </c>
      <c r="H550" s="17" t="n">
        <v>600</v>
      </c>
      <c r="I550" s="17"/>
      <c r="J550" s="17" t="n">
        <v>5</v>
      </c>
      <c r="K550" s="17"/>
      <c r="L550" s="17"/>
      <c r="M550" s="17"/>
      <c r="N550" s="27" t="str">
        <f aca="false">IF(F550=_xlfn.MINIFS($F$2:$F$948,$A$2:$A$948,$A550,$B$2:$B$948,$B550),"BEST","")</f>
        <v/>
      </c>
    </row>
    <row r="551" customFormat="false" ht="15" hidden="false" customHeight="false" outlineLevel="0" collapsed="false">
      <c r="A551" s="16" t="s">
        <v>50</v>
      </c>
      <c r="B551" s="17" t="n">
        <v>10</v>
      </c>
      <c r="C551" s="17" t="s">
        <v>67</v>
      </c>
      <c r="D551" s="16" t="s">
        <v>68</v>
      </c>
      <c r="E551" s="17" t="n">
        <v>2</v>
      </c>
      <c r="F551" s="26" t="n">
        <v>0.00115527040373753</v>
      </c>
      <c r="G551" s="17" t="n">
        <v>160</v>
      </c>
      <c r="H551" s="17" t="n">
        <v>600</v>
      </c>
      <c r="I551" s="17"/>
      <c r="J551" s="17" t="n">
        <v>5</v>
      </c>
      <c r="K551" s="17"/>
      <c r="L551" s="17"/>
      <c r="M551" s="17"/>
      <c r="N551" s="27" t="str">
        <f aca="false">IF(F551=_xlfn.MINIFS($F$2:$F$948,$A$2:$A$948,$A551,$B$2:$B$948,$B551),"BEST","")</f>
        <v/>
      </c>
    </row>
    <row r="552" customFormat="false" ht="15" hidden="false" customHeight="false" outlineLevel="0" collapsed="false">
      <c r="A552" s="16" t="s">
        <v>50</v>
      </c>
      <c r="B552" s="17" t="n">
        <v>10</v>
      </c>
      <c r="C552" s="17" t="s">
        <v>67</v>
      </c>
      <c r="D552" s="16" t="s">
        <v>68</v>
      </c>
      <c r="E552" s="17" t="n">
        <v>3</v>
      </c>
      <c r="F552" s="26" t="n">
        <v>0.00169711153328588</v>
      </c>
      <c r="G552" s="17" t="n">
        <v>160</v>
      </c>
      <c r="H552" s="17" t="n">
        <v>600</v>
      </c>
      <c r="I552" s="17"/>
      <c r="J552" s="17" t="n">
        <v>5</v>
      </c>
      <c r="K552" s="17"/>
      <c r="L552" s="17"/>
      <c r="M552" s="17"/>
      <c r="N552" s="27" t="str">
        <f aca="false">IF(F552=_xlfn.MINIFS($F$2:$F$948,$A$2:$A$948,$A552,$B$2:$B$948,$B552),"BEST","")</f>
        <v/>
      </c>
    </row>
    <row r="553" customFormat="false" ht="15" hidden="false" customHeight="false" outlineLevel="0" collapsed="false">
      <c r="A553" s="16" t="s">
        <v>50</v>
      </c>
      <c r="B553" s="17" t="n">
        <v>10</v>
      </c>
      <c r="C553" s="17" t="s">
        <v>67</v>
      </c>
      <c r="D553" s="16" t="s">
        <v>68</v>
      </c>
      <c r="E553" s="17" t="n">
        <v>4</v>
      </c>
      <c r="F553" s="26" t="n">
        <v>0.00109237593674593</v>
      </c>
      <c r="G553" s="17" t="n">
        <v>160</v>
      </c>
      <c r="H553" s="17" t="n">
        <v>600</v>
      </c>
      <c r="I553" s="17"/>
      <c r="J553" s="17" t="n">
        <v>5</v>
      </c>
      <c r="K553" s="17"/>
      <c r="L553" s="17"/>
      <c r="M553" s="17"/>
      <c r="N553" s="27" t="str">
        <f aca="false">IF(F553=_xlfn.MINIFS($F$2:$F$948,$A$2:$A$948,$A553,$B$2:$B$948,$B553),"BEST","")</f>
        <v/>
      </c>
    </row>
    <row r="554" customFormat="false" ht="15" hidden="false" customHeight="false" outlineLevel="0" collapsed="false">
      <c r="A554" s="16" t="s">
        <v>50</v>
      </c>
      <c r="B554" s="17" t="n">
        <v>10</v>
      </c>
      <c r="C554" s="17" t="s">
        <v>67</v>
      </c>
      <c r="D554" s="16" t="s">
        <v>68</v>
      </c>
      <c r="E554" s="17" t="n">
        <v>5</v>
      </c>
      <c r="F554" s="26" t="n">
        <v>0.00081989248523613</v>
      </c>
      <c r="G554" s="17" t="n">
        <v>160</v>
      </c>
      <c r="H554" s="17" t="n">
        <v>600</v>
      </c>
      <c r="I554" s="17"/>
      <c r="J554" s="17" t="n">
        <v>5</v>
      </c>
      <c r="K554" s="17"/>
      <c r="L554" s="17"/>
      <c r="M554" s="17"/>
      <c r="N554" s="27" t="str">
        <f aca="false">IF(F554=_xlfn.MINIFS($F$2:$F$948,$A$2:$A$948,$A554,$B$2:$B$948,$B554),"BEST","")</f>
        <v>BEST</v>
      </c>
    </row>
    <row r="555" customFormat="false" ht="15" hidden="false" customHeight="false" outlineLevel="0" collapsed="false">
      <c r="A555" s="16" t="s">
        <v>50</v>
      </c>
      <c r="B555" s="17" t="n">
        <v>10</v>
      </c>
      <c r="C555" s="17" t="s">
        <v>67</v>
      </c>
      <c r="D555" s="16" t="s">
        <v>68</v>
      </c>
      <c r="E555" s="17" t="n">
        <v>6</v>
      </c>
      <c r="F555" s="26" t="n">
        <v>0.000998220976768157</v>
      </c>
      <c r="G555" s="17" t="n">
        <v>160</v>
      </c>
      <c r="H555" s="17" t="n">
        <v>600</v>
      </c>
      <c r="I555" s="17"/>
      <c r="J555" s="17" t="n">
        <v>5</v>
      </c>
      <c r="K555" s="17"/>
      <c r="L555" s="17"/>
      <c r="M555" s="17"/>
      <c r="N555" s="27" t="str">
        <f aca="false">IF(F555=_xlfn.MINIFS($F$2:$F$948,$A$2:$A$948,$A555,$B$2:$B$948,$B555),"BEST","")</f>
        <v/>
      </c>
    </row>
    <row r="556" customFormat="false" ht="15" hidden="false" customHeight="false" outlineLevel="0" collapsed="false">
      <c r="A556" s="16" t="s">
        <v>50</v>
      </c>
      <c r="B556" s="17" t="n">
        <v>10</v>
      </c>
      <c r="C556" s="17" t="s">
        <v>67</v>
      </c>
      <c r="D556" s="16" t="s">
        <v>68</v>
      </c>
      <c r="E556" s="17" t="n">
        <v>7</v>
      </c>
      <c r="F556" s="26" t="n">
        <v>0.00131254002968123</v>
      </c>
      <c r="G556" s="17" t="n">
        <v>160</v>
      </c>
      <c r="H556" s="17" t="n">
        <v>600</v>
      </c>
      <c r="I556" s="17"/>
      <c r="J556" s="17" t="n">
        <v>5</v>
      </c>
      <c r="K556" s="17"/>
      <c r="L556" s="17"/>
      <c r="M556" s="17"/>
      <c r="N556" s="27" t="str">
        <f aca="false">IF(F556=_xlfn.MINIFS($F$2:$F$948,$A$2:$A$948,$A556,$B$2:$B$948,$B556),"BEST","")</f>
        <v/>
      </c>
    </row>
    <row r="557" customFormat="false" ht="15" hidden="false" customHeight="false" outlineLevel="0" collapsed="false">
      <c r="A557" s="16" t="s">
        <v>50</v>
      </c>
      <c r="B557" s="17" t="n">
        <v>10</v>
      </c>
      <c r="C557" s="17" t="s">
        <v>67</v>
      </c>
      <c r="D557" s="16" t="s">
        <v>68</v>
      </c>
      <c r="E557" s="17" t="n">
        <v>8</v>
      </c>
      <c r="F557" s="26" t="n">
        <v>0.00120473430446295</v>
      </c>
      <c r="G557" s="17" t="n">
        <v>160</v>
      </c>
      <c r="H557" s="17" t="n">
        <v>600</v>
      </c>
      <c r="I557" s="17"/>
      <c r="J557" s="17" t="n">
        <v>5</v>
      </c>
      <c r="K557" s="17"/>
      <c r="L557" s="17"/>
      <c r="M557" s="17"/>
      <c r="N557" s="27" t="str">
        <f aca="false">IF(F557=_xlfn.MINIFS($F$2:$F$948,$A$2:$A$948,$A557,$B$2:$B$948,$B557),"BEST","")</f>
        <v/>
      </c>
    </row>
    <row r="558" customFormat="false" ht="15" hidden="false" customHeight="false" outlineLevel="0" collapsed="false">
      <c r="A558" s="16" t="s">
        <v>50</v>
      </c>
      <c r="B558" s="17" t="n">
        <v>10</v>
      </c>
      <c r="C558" s="17" t="s">
        <v>67</v>
      </c>
      <c r="D558" s="16" t="s">
        <v>68</v>
      </c>
      <c r="E558" s="17" t="n">
        <v>9</v>
      </c>
      <c r="F558" s="26" t="n">
        <v>0.00100811781621472</v>
      </c>
      <c r="G558" s="17" t="n">
        <v>160</v>
      </c>
      <c r="H558" s="17" t="n">
        <v>600</v>
      </c>
      <c r="I558" s="17"/>
      <c r="J558" s="17" t="n">
        <v>5</v>
      </c>
      <c r="K558" s="17"/>
      <c r="L558" s="17"/>
      <c r="M558" s="17"/>
      <c r="N558" s="27" t="str">
        <f aca="false">IF(F558=_xlfn.MINIFS($F$2:$F$948,$A$2:$A$948,$A558,$B$2:$B$948,$B558),"BEST","")</f>
        <v/>
      </c>
    </row>
    <row r="559" customFormat="false" ht="15" hidden="false" customHeight="false" outlineLevel="0" collapsed="false">
      <c r="A559" s="16" t="s">
        <v>50</v>
      </c>
      <c r="B559" s="17" t="n">
        <v>10</v>
      </c>
      <c r="C559" s="17" t="s">
        <v>67</v>
      </c>
      <c r="D559" s="16" t="s">
        <v>68</v>
      </c>
      <c r="E559" s="17" t="n">
        <v>10</v>
      </c>
      <c r="F559" s="26" t="n">
        <v>0.00104958638595097</v>
      </c>
      <c r="G559" s="17" t="n">
        <v>160</v>
      </c>
      <c r="H559" s="17" t="n">
        <v>600</v>
      </c>
      <c r="I559" s="17"/>
      <c r="J559" s="17" t="n">
        <v>5</v>
      </c>
      <c r="K559" s="17"/>
      <c r="L559" s="17"/>
      <c r="M559" s="17"/>
      <c r="N559" s="27" t="str">
        <f aca="false">IF(F559=_xlfn.MINIFS($F$2:$F$948,$A$2:$A$948,$A559,$B$2:$B$948,$B559),"BEST","")</f>
        <v/>
      </c>
    </row>
    <row r="560" customFormat="false" ht="15" hidden="false" customHeight="false" outlineLevel="0" collapsed="false">
      <c r="A560" s="16" t="s">
        <v>50</v>
      </c>
      <c r="B560" s="17" t="n">
        <v>10</v>
      </c>
      <c r="C560" s="17" t="s">
        <v>67</v>
      </c>
      <c r="D560" s="16" t="s">
        <v>68</v>
      </c>
      <c r="E560" s="17" t="n">
        <v>11</v>
      </c>
      <c r="F560" s="26" t="n">
        <v>0.00126014653234252</v>
      </c>
      <c r="G560" s="17" t="n">
        <v>160</v>
      </c>
      <c r="H560" s="17" t="n">
        <v>600</v>
      </c>
      <c r="I560" s="17"/>
      <c r="J560" s="17" t="n">
        <v>5</v>
      </c>
      <c r="K560" s="17"/>
      <c r="L560" s="17"/>
      <c r="M560" s="17"/>
      <c r="N560" s="27" t="str">
        <f aca="false">IF(F560=_xlfn.MINIFS($F$2:$F$948,$A$2:$A$948,$A560,$B$2:$B$948,$B560),"BEST","")</f>
        <v/>
      </c>
    </row>
    <row r="561" customFormat="false" ht="15" hidden="false" customHeight="false" outlineLevel="0" collapsed="false">
      <c r="A561" s="16" t="s">
        <v>50</v>
      </c>
      <c r="B561" s="17" t="n">
        <v>10</v>
      </c>
      <c r="C561" s="17" t="s">
        <v>67</v>
      </c>
      <c r="D561" s="16" t="s">
        <v>68</v>
      </c>
      <c r="E561" s="17" t="n">
        <v>12</v>
      </c>
      <c r="F561" s="26" t="n">
        <v>0.00113215472532893</v>
      </c>
      <c r="G561" s="17" t="n">
        <v>160</v>
      </c>
      <c r="H561" s="17" t="n">
        <v>600</v>
      </c>
      <c r="I561" s="17"/>
      <c r="J561" s="17" t="n">
        <v>5</v>
      </c>
      <c r="K561" s="17"/>
      <c r="L561" s="17"/>
      <c r="M561" s="17"/>
      <c r="N561" s="27" t="str">
        <f aca="false">IF(F561=_xlfn.MINIFS($F$2:$F$948,$A$2:$A$948,$A561,$B$2:$B$948,$B561),"BEST","")</f>
        <v/>
      </c>
    </row>
    <row r="562" customFormat="false" ht="15" hidden="false" customHeight="false" outlineLevel="0" collapsed="false">
      <c r="A562" s="16" t="s">
        <v>50</v>
      </c>
      <c r="B562" s="17" t="n">
        <v>10</v>
      </c>
      <c r="C562" s="17" t="s">
        <v>67</v>
      </c>
      <c r="D562" s="16" t="s">
        <v>68</v>
      </c>
      <c r="E562" s="17" t="n">
        <v>13</v>
      </c>
      <c r="F562" s="26" t="n">
        <v>0.00121419309656481</v>
      </c>
      <c r="G562" s="17" t="n">
        <v>160</v>
      </c>
      <c r="H562" s="17" t="n">
        <v>600</v>
      </c>
      <c r="I562" s="17"/>
      <c r="J562" s="17" t="n">
        <v>5</v>
      </c>
      <c r="K562" s="17"/>
      <c r="L562" s="17"/>
      <c r="M562" s="17"/>
      <c r="N562" s="27" t="str">
        <f aca="false">IF(F562=_xlfn.MINIFS($F$2:$F$948,$A$2:$A$948,$A562,$B$2:$B$948,$B562),"BEST","")</f>
        <v/>
      </c>
    </row>
    <row r="563" customFormat="false" ht="15" hidden="false" customHeight="false" outlineLevel="0" collapsed="false">
      <c r="A563" s="16" t="s">
        <v>50</v>
      </c>
      <c r="B563" s="17" t="n">
        <v>10</v>
      </c>
      <c r="C563" s="17" t="s">
        <v>67</v>
      </c>
      <c r="D563" s="16" t="s">
        <v>68</v>
      </c>
      <c r="E563" s="17" t="n">
        <v>14</v>
      </c>
      <c r="F563" s="26" t="n">
        <v>0.00131464710141332</v>
      </c>
      <c r="G563" s="17" t="n">
        <v>160</v>
      </c>
      <c r="H563" s="17" t="n">
        <v>600</v>
      </c>
      <c r="I563" s="17"/>
      <c r="J563" s="17" t="n">
        <v>5</v>
      </c>
      <c r="K563" s="17"/>
      <c r="L563" s="17"/>
      <c r="M563" s="17"/>
      <c r="N563" s="27" t="str">
        <f aca="false">IF(F563=_xlfn.MINIFS($F$2:$F$948,$A$2:$A$948,$A563,$B$2:$B$948,$B563),"BEST","")</f>
        <v/>
      </c>
    </row>
    <row r="564" customFormat="false" ht="15" hidden="false" customHeight="false" outlineLevel="0" collapsed="false">
      <c r="A564" s="16" t="s">
        <v>50</v>
      </c>
      <c r="B564" s="17" t="n">
        <v>10</v>
      </c>
      <c r="C564" s="17" t="s">
        <v>67</v>
      </c>
      <c r="D564" s="16" t="s">
        <v>68</v>
      </c>
      <c r="E564" s="17" t="n">
        <v>15</v>
      </c>
      <c r="F564" s="26" t="n">
        <v>0.000870271693342402</v>
      </c>
      <c r="G564" s="17" t="n">
        <v>160</v>
      </c>
      <c r="H564" s="17" t="n">
        <v>600</v>
      </c>
      <c r="I564" s="17"/>
      <c r="J564" s="17" t="n">
        <v>5</v>
      </c>
      <c r="K564" s="17"/>
      <c r="L564" s="17"/>
      <c r="M564" s="17"/>
      <c r="N564" s="27" t="str">
        <f aca="false">IF(F564=_xlfn.MINIFS($F$2:$F$948,$A$2:$A$948,$A564,$B$2:$B$948,$B564),"BEST","")</f>
        <v/>
      </c>
    </row>
    <row r="565" customFormat="false" ht="15" hidden="false" customHeight="false" outlineLevel="0" collapsed="false">
      <c r="A565" s="16" t="s">
        <v>50</v>
      </c>
      <c r="B565" s="17" t="n">
        <v>10</v>
      </c>
      <c r="C565" s="17" t="s">
        <v>67</v>
      </c>
      <c r="D565" s="16" t="s">
        <v>68</v>
      </c>
      <c r="E565" s="17" t="n">
        <v>16</v>
      </c>
      <c r="F565" s="26" t="n">
        <v>0.00120048607996452</v>
      </c>
      <c r="G565" s="17" t="n">
        <v>160</v>
      </c>
      <c r="H565" s="17" t="n">
        <v>600</v>
      </c>
      <c r="I565" s="17"/>
      <c r="J565" s="17" t="n">
        <v>5</v>
      </c>
      <c r="K565" s="17"/>
      <c r="L565" s="17"/>
      <c r="M565" s="17"/>
      <c r="N565" s="27" t="str">
        <f aca="false">IF(F565=_xlfn.MINIFS($F$2:$F$948,$A$2:$A$948,$A565,$B$2:$B$948,$B565),"BEST","")</f>
        <v/>
      </c>
    </row>
    <row r="566" customFormat="false" ht="15" hidden="false" customHeight="false" outlineLevel="0" collapsed="false">
      <c r="A566" s="16" t="s">
        <v>50</v>
      </c>
      <c r="B566" s="17" t="n">
        <v>10</v>
      </c>
      <c r="C566" s="17" t="s">
        <v>67</v>
      </c>
      <c r="D566" s="16" t="s">
        <v>68</v>
      </c>
      <c r="E566" s="17" t="n">
        <v>17</v>
      </c>
      <c r="F566" s="26" t="n">
        <v>0.00105386678152696</v>
      </c>
      <c r="G566" s="17" t="n">
        <v>160</v>
      </c>
      <c r="H566" s="17" t="n">
        <v>600</v>
      </c>
      <c r="I566" s="17"/>
      <c r="J566" s="17" t="n">
        <v>5</v>
      </c>
      <c r="K566" s="17"/>
      <c r="L566" s="17"/>
      <c r="M566" s="17"/>
      <c r="N566" s="27" t="str">
        <f aca="false">IF(F566=_xlfn.MINIFS($F$2:$F$948,$A$2:$A$948,$A566,$B$2:$B$948,$B566),"BEST","")</f>
        <v/>
      </c>
    </row>
    <row r="567" customFormat="false" ht="15" hidden="false" customHeight="false" outlineLevel="0" collapsed="false">
      <c r="A567" s="16" t="s">
        <v>50</v>
      </c>
      <c r="B567" s="17" t="n">
        <v>10</v>
      </c>
      <c r="C567" s="17" t="s">
        <v>67</v>
      </c>
      <c r="D567" s="16" t="s">
        <v>68</v>
      </c>
      <c r="E567" s="17" t="n">
        <v>18</v>
      </c>
      <c r="F567" s="26" t="n">
        <v>0.00103034612839789</v>
      </c>
      <c r="G567" s="17" t="n">
        <v>160</v>
      </c>
      <c r="H567" s="17" t="n">
        <v>600</v>
      </c>
      <c r="I567" s="17"/>
      <c r="J567" s="17" t="n">
        <v>5</v>
      </c>
      <c r="K567" s="17"/>
      <c r="L567" s="17"/>
      <c r="M567" s="17"/>
      <c r="N567" s="27" t="str">
        <f aca="false">IF(F567=_xlfn.MINIFS($F$2:$F$948,$A$2:$A$948,$A567,$B$2:$B$948,$B567),"BEST","")</f>
        <v/>
      </c>
    </row>
    <row r="568" customFormat="false" ht="15" hidden="false" customHeight="false" outlineLevel="0" collapsed="false">
      <c r="A568" s="16" t="s">
        <v>50</v>
      </c>
      <c r="B568" s="17" t="n">
        <v>10</v>
      </c>
      <c r="C568" s="17" t="s">
        <v>67</v>
      </c>
      <c r="D568" s="16" t="s">
        <v>68</v>
      </c>
      <c r="E568" s="17" t="n">
        <v>19</v>
      </c>
      <c r="F568" s="26" t="n">
        <v>0.00116834598576265</v>
      </c>
      <c r="G568" s="17" t="n">
        <v>160</v>
      </c>
      <c r="H568" s="17" t="n">
        <v>600</v>
      </c>
      <c r="I568" s="17"/>
      <c r="J568" s="17" t="n">
        <v>5</v>
      </c>
      <c r="K568" s="17"/>
      <c r="L568" s="17"/>
      <c r="M568" s="17"/>
      <c r="N568" s="27" t="str">
        <f aca="false">IF(F568=_xlfn.MINIFS($F$2:$F$948,$A$2:$A$948,$A568,$B$2:$B$948,$B568),"BEST","")</f>
        <v/>
      </c>
    </row>
    <row r="569" customFormat="false" ht="15" hidden="false" customHeight="false" outlineLevel="0" collapsed="false">
      <c r="A569" s="16" t="s">
        <v>50</v>
      </c>
      <c r="B569" s="17" t="n">
        <v>10</v>
      </c>
      <c r="C569" s="17" t="s">
        <v>69</v>
      </c>
      <c r="D569" s="16" t="s">
        <v>68</v>
      </c>
      <c r="E569" s="17" t="n">
        <v>0</v>
      </c>
      <c r="F569" s="26" t="n">
        <v>0.440621002433484</v>
      </c>
      <c r="G569" s="17" t="n">
        <v>160</v>
      </c>
      <c r="H569" s="17" t="n">
        <v>600</v>
      </c>
      <c r="I569" s="17"/>
      <c r="J569" s="17" t="n">
        <v>5</v>
      </c>
      <c r="K569" s="17"/>
      <c r="L569" s="17"/>
      <c r="M569" s="17"/>
      <c r="N569" s="27" t="str">
        <f aca="false">IF(F569=_xlfn.MINIFS($F$2:$F$948,$A$2:$A$948,$A569,$B$2:$B$948,$B569),"BEST","")</f>
        <v/>
      </c>
    </row>
    <row r="570" customFormat="false" ht="15" hidden="false" customHeight="false" outlineLevel="0" collapsed="false">
      <c r="A570" s="16" t="s">
        <v>50</v>
      </c>
      <c r="B570" s="17" t="n">
        <v>10</v>
      </c>
      <c r="C570" s="17" t="s">
        <v>69</v>
      </c>
      <c r="D570" s="16" t="s">
        <v>68</v>
      </c>
      <c r="E570" s="17" t="n">
        <v>1</v>
      </c>
      <c r="F570" s="26" t="n">
        <v>0.162126716600925</v>
      </c>
      <c r="G570" s="17" t="n">
        <v>160</v>
      </c>
      <c r="H570" s="17" t="n">
        <v>600</v>
      </c>
      <c r="I570" s="17"/>
      <c r="J570" s="17" t="n">
        <v>5</v>
      </c>
      <c r="K570" s="17"/>
      <c r="L570" s="17"/>
      <c r="M570" s="17"/>
      <c r="N570" s="27" t="str">
        <f aca="false">IF(F570=_xlfn.MINIFS($F$2:$F$948,$A$2:$A$948,$A570,$B$2:$B$948,$B570),"BEST","")</f>
        <v/>
      </c>
    </row>
    <row r="571" customFormat="false" ht="15" hidden="false" customHeight="false" outlineLevel="0" collapsed="false">
      <c r="A571" s="16" t="s">
        <v>50</v>
      </c>
      <c r="B571" s="17" t="n">
        <v>10</v>
      </c>
      <c r="C571" s="17" t="s">
        <v>69</v>
      </c>
      <c r="D571" s="16" t="s">
        <v>68</v>
      </c>
      <c r="E571" s="17" t="n">
        <v>2</v>
      </c>
      <c r="F571" s="26" t="n">
        <v>0.175579591362336</v>
      </c>
      <c r="G571" s="17" t="n">
        <v>160</v>
      </c>
      <c r="H571" s="17" t="n">
        <v>600</v>
      </c>
      <c r="I571" s="17"/>
      <c r="J571" s="17" t="n">
        <v>5</v>
      </c>
      <c r="K571" s="17"/>
      <c r="L571" s="17"/>
      <c r="M571" s="17"/>
      <c r="N571" s="27" t="str">
        <f aca="false">IF(F571=_xlfn.MINIFS($F$2:$F$948,$A$2:$A$948,$A571,$B$2:$B$948,$B571),"BEST","")</f>
        <v/>
      </c>
    </row>
    <row r="572" customFormat="false" ht="15" hidden="false" customHeight="false" outlineLevel="0" collapsed="false">
      <c r="A572" s="16" t="s">
        <v>50</v>
      </c>
      <c r="B572" s="17" t="n">
        <v>10</v>
      </c>
      <c r="C572" s="17" t="s">
        <v>69</v>
      </c>
      <c r="D572" s="16" t="s">
        <v>68</v>
      </c>
      <c r="E572" s="17" t="n">
        <v>3</v>
      </c>
      <c r="F572" s="26" t="n">
        <v>0.22050394500838</v>
      </c>
      <c r="G572" s="17" t="n">
        <v>160</v>
      </c>
      <c r="H572" s="17" t="n">
        <v>600</v>
      </c>
      <c r="I572" s="17"/>
      <c r="J572" s="17" t="n">
        <v>5</v>
      </c>
      <c r="K572" s="17"/>
      <c r="L572" s="17"/>
      <c r="M572" s="17"/>
      <c r="N572" s="27" t="str">
        <f aca="false">IF(F572=_xlfn.MINIFS($F$2:$F$948,$A$2:$A$948,$A572,$B$2:$B$948,$B572),"BEST","")</f>
        <v/>
      </c>
    </row>
    <row r="573" customFormat="false" ht="15" hidden="false" customHeight="false" outlineLevel="0" collapsed="false">
      <c r="A573" s="16" t="s">
        <v>50</v>
      </c>
      <c r="B573" s="17" t="n">
        <v>10</v>
      </c>
      <c r="C573" s="17" t="s">
        <v>69</v>
      </c>
      <c r="D573" s="16" t="s">
        <v>68</v>
      </c>
      <c r="E573" s="17" t="n">
        <v>4</v>
      </c>
      <c r="F573" s="26" t="n">
        <v>0.239706952920608</v>
      </c>
      <c r="G573" s="17" t="n">
        <v>160</v>
      </c>
      <c r="H573" s="17" t="n">
        <v>600</v>
      </c>
      <c r="I573" s="17"/>
      <c r="J573" s="17" t="n">
        <v>5</v>
      </c>
      <c r="K573" s="17"/>
      <c r="L573" s="17"/>
      <c r="M573" s="17"/>
      <c r="N573" s="27" t="str">
        <f aca="false">IF(F573=_xlfn.MINIFS($F$2:$F$948,$A$2:$A$948,$A573,$B$2:$B$948,$B573),"BEST","")</f>
        <v/>
      </c>
    </row>
    <row r="574" customFormat="false" ht="15" hidden="false" customHeight="false" outlineLevel="0" collapsed="false">
      <c r="A574" s="16" t="s">
        <v>50</v>
      </c>
      <c r="B574" s="17" t="n">
        <v>10</v>
      </c>
      <c r="C574" s="17" t="s">
        <v>69</v>
      </c>
      <c r="D574" s="16" t="s">
        <v>68</v>
      </c>
      <c r="E574" s="17" t="n">
        <v>5</v>
      </c>
      <c r="F574" s="26" t="n">
        <v>0.140544477114702</v>
      </c>
      <c r="G574" s="17" t="n">
        <v>160</v>
      </c>
      <c r="H574" s="17" t="n">
        <v>600</v>
      </c>
      <c r="I574" s="17"/>
      <c r="J574" s="17" t="n">
        <v>5</v>
      </c>
      <c r="K574" s="17"/>
      <c r="L574" s="17"/>
      <c r="M574" s="17"/>
      <c r="N574" s="27" t="str">
        <f aca="false">IF(F574=_xlfn.MINIFS($F$2:$F$948,$A$2:$A$948,$A574,$B$2:$B$948,$B574),"BEST","")</f>
        <v/>
      </c>
    </row>
    <row r="575" customFormat="false" ht="15" hidden="false" customHeight="false" outlineLevel="0" collapsed="false">
      <c r="A575" s="16" t="s">
        <v>50</v>
      </c>
      <c r="B575" s="17" t="n">
        <v>10</v>
      </c>
      <c r="C575" s="17" t="s">
        <v>69</v>
      </c>
      <c r="D575" s="16" t="s">
        <v>68</v>
      </c>
      <c r="E575" s="17" t="n">
        <v>6</v>
      </c>
      <c r="F575" s="26" t="n">
        <v>0.196908862500811</v>
      </c>
      <c r="G575" s="17" t="n">
        <v>160</v>
      </c>
      <c r="H575" s="17" t="n">
        <v>600</v>
      </c>
      <c r="I575" s="17"/>
      <c r="J575" s="17" t="n">
        <v>5</v>
      </c>
      <c r="K575" s="17"/>
      <c r="L575" s="17"/>
      <c r="M575" s="17"/>
      <c r="N575" s="27" t="str">
        <f aca="false">IF(F575=_xlfn.MINIFS($F$2:$F$948,$A$2:$A$948,$A575,$B$2:$B$948,$B575),"BEST","")</f>
        <v/>
      </c>
    </row>
    <row r="576" customFormat="false" ht="15" hidden="false" customHeight="false" outlineLevel="0" collapsed="false">
      <c r="A576" s="16" t="s">
        <v>50</v>
      </c>
      <c r="B576" s="17" t="n">
        <v>10</v>
      </c>
      <c r="C576" s="17" t="s">
        <v>69</v>
      </c>
      <c r="D576" s="16" t="s">
        <v>68</v>
      </c>
      <c r="E576" s="17" t="n">
        <v>7</v>
      </c>
      <c r="F576" s="26" t="n">
        <v>0.298189382722345</v>
      </c>
      <c r="G576" s="17" t="n">
        <v>160</v>
      </c>
      <c r="H576" s="17" t="n">
        <v>600</v>
      </c>
      <c r="I576" s="17"/>
      <c r="J576" s="17" t="n">
        <v>5</v>
      </c>
      <c r="K576" s="17"/>
      <c r="L576" s="17"/>
      <c r="M576" s="17"/>
      <c r="N576" s="27" t="str">
        <f aca="false">IF(F576=_xlfn.MINIFS($F$2:$F$948,$A$2:$A$948,$A576,$B$2:$B$948,$B576),"BEST","")</f>
        <v/>
      </c>
    </row>
    <row r="577" customFormat="false" ht="15" hidden="false" customHeight="false" outlineLevel="0" collapsed="false">
      <c r="A577" s="16" t="s">
        <v>50</v>
      </c>
      <c r="B577" s="17" t="n">
        <v>10</v>
      </c>
      <c r="C577" s="17" t="s">
        <v>69</v>
      </c>
      <c r="D577" s="16" t="s">
        <v>68</v>
      </c>
      <c r="E577" s="17" t="n">
        <v>8</v>
      </c>
      <c r="F577" s="26" t="n">
        <v>0.0916611923339061</v>
      </c>
      <c r="G577" s="17" t="n">
        <v>160</v>
      </c>
      <c r="H577" s="17" t="n">
        <v>600</v>
      </c>
      <c r="I577" s="17"/>
      <c r="J577" s="17" t="n">
        <v>5</v>
      </c>
      <c r="K577" s="17"/>
      <c r="L577" s="17"/>
      <c r="M577" s="17"/>
      <c r="N577" s="27" t="str">
        <f aca="false">IF(F577=_xlfn.MINIFS($F$2:$F$948,$A$2:$A$948,$A577,$B$2:$B$948,$B577),"BEST","")</f>
        <v/>
      </c>
    </row>
    <row r="578" customFormat="false" ht="15" hidden="false" customHeight="false" outlineLevel="0" collapsed="false">
      <c r="A578" s="16" t="s">
        <v>50</v>
      </c>
      <c r="B578" s="17" t="n">
        <v>10</v>
      </c>
      <c r="C578" s="17" t="s">
        <v>69</v>
      </c>
      <c r="D578" s="16" t="s">
        <v>68</v>
      </c>
      <c r="E578" s="17" t="n">
        <v>9</v>
      </c>
      <c r="F578" s="26" t="n">
        <v>0.157306486287143</v>
      </c>
      <c r="G578" s="17" t="n">
        <v>160</v>
      </c>
      <c r="H578" s="17" t="n">
        <v>600</v>
      </c>
      <c r="I578" s="17"/>
      <c r="J578" s="17" t="n">
        <v>5</v>
      </c>
      <c r="K578" s="17"/>
      <c r="L578" s="17"/>
      <c r="M578" s="17"/>
      <c r="N578" s="27" t="str">
        <f aca="false">IF(F578=_xlfn.MINIFS($F$2:$F$948,$A$2:$A$948,$A578,$B$2:$B$948,$B578),"BEST","")</f>
        <v/>
      </c>
    </row>
    <row r="579" customFormat="false" ht="15" hidden="false" customHeight="false" outlineLevel="0" collapsed="false">
      <c r="A579" s="16" t="s">
        <v>50</v>
      </c>
      <c r="B579" s="17" t="n">
        <v>10</v>
      </c>
      <c r="C579" s="17" t="s">
        <v>69</v>
      </c>
      <c r="D579" s="16" t="s">
        <v>68</v>
      </c>
      <c r="E579" s="17" t="n">
        <v>10</v>
      </c>
      <c r="F579" s="26" t="n">
        <v>0.16955888634901</v>
      </c>
      <c r="G579" s="17" t="n">
        <v>160</v>
      </c>
      <c r="H579" s="17" t="n">
        <v>600</v>
      </c>
      <c r="I579" s="17"/>
      <c r="J579" s="17" t="n">
        <v>5</v>
      </c>
      <c r="K579" s="17"/>
      <c r="L579" s="17"/>
      <c r="M579" s="17"/>
      <c r="N579" s="27" t="str">
        <f aca="false">IF(F579=_xlfn.MINIFS($F$2:$F$948,$A$2:$A$948,$A579,$B$2:$B$948,$B579),"BEST","")</f>
        <v/>
      </c>
    </row>
    <row r="580" customFormat="false" ht="15" hidden="false" customHeight="false" outlineLevel="0" collapsed="false">
      <c r="A580" s="16" t="s">
        <v>50</v>
      </c>
      <c r="B580" s="17" t="n">
        <v>10</v>
      </c>
      <c r="C580" s="17" t="s">
        <v>69</v>
      </c>
      <c r="D580" s="16" t="s">
        <v>68</v>
      </c>
      <c r="E580" s="17" t="n">
        <v>11</v>
      </c>
      <c r="F580" s="26" t="n">
        <v>0.131421430344892</v>
      </c>
      <c r="G580" s="17" t="n">
        <v>160</v>
      </c>
      <c r="H580" s="17" t="n">
        <v>600</v>
      </c>
      <c r="I580" s="17"/>
      <c r="J580" s="17" t="n">
        <v>5</v>
      </c>
      <c r="K580" s="17"/>
      <c r="L580" s="17"/>
      <c r="M580" s="17"/>
      <c r="N580" s="27" t="str">
        <f aca="false">IF(F580=_xlfn.MINIFS($F$2:$F$948,$A$2:$A$948,$A580,$B$2:$B$948,$B580),"BEST","")</f>
        <v/>
      </c>
    </row>
    <row r="581" customFormat="false" ht="15" hidden="false" customHeight="false" outlineLevel="0" collapsed="false">
      <c r="A581" s="16" t="s">
        <v>50</v>
      </c>
      <c r="B581" s="17" t="n">
        <v>10</v>
      </c>
      <c r="C581" s="17" t="s">
        <v>69</v>
      </c>
      <c r="D581" s="16" t="s">
        <v>68</v>
      </c>
      <c r="E581" s="17" t="n">
        <v>12</v>
      </c>
      <c r="F581" s="26" t="n">
        <v>0.0953595418100931</v>
      </c>
      <c r="G581" s="17" t="n">
        <v>160</v>
      </c>
      <c r="H581" s="17" t="n">
        <v>600</v>
      </c>
      <c r="I581" s="17"/>
      <c r="J581" s="17" t="n">
        <v>5</v>
      </c>
      <c r="K581" s="17"/>
      <c r="L581" s="17"/>
      <c r="M581" s="17"/>
      <c r="N581" s="27" t="str">
        <f aca="false">IF(F581=_xlfn.MINIFS($F$2:$F$948,$A$2:$A$948,$A581,$B$2:$B$948,$B581),"BEST","")</f>
        <v/>
      </c>
    </row>
    <row r="582" customFormat="false" ht="15" hidden="false" customHeight="false" outlineLevel="0" collapsed="false">
      <c r="A582" s="16" t="s">
        <v>50</v>
      </c>
      <c r="B582" s="17" t="n">
        <v>10</v>
      </c>
      <c r="C582" s="17" t="s">
        <v>69</v>
      </c>
      <c r="D582" s="16" t="s">
        <v>68</v>
      </c>
      <c r="E582" s="17" t="n">
        <v>13</v>
      </c>
      <c r="F582" s="26" t="n">
        <v>0.232738878162031</v>
      </c>
      <c r="G582" s="17" t="n">
        <v>160</v>
      </c>
      <c r="H582" s="17" t="n">
        <v>600</v>
      </c>
      <c r="I582" s="17"/>
      <c r="J582" s="17" t="n">
        <v>5</v>
      </c>
      <c r="K582" s="17"/>
      <c r="L582" s="17"/>
      <c r="M582" s="17"/>
      <c r="N582" s="27" t="str">
        <f aca="false">IF(F582=_xlfn.MINIFS($F$2:$F$948,$A$2:$A$948,$A582,$B$2:$B$948,$B582),"BEST","")</f>
        <v/>
      </c>
    </row>
    <row r="583" customFormat="false" ht="15" hidden="false" customHeight="false" outlineLevel="0" collapsed="false">
      <c r="A583" s="16" t="s">
        <v>50</v>
      </c>
      <c r="B583" s="17" t="n">
        <v>10</v>
      </c>
      <c r="C583" s="17" t="s">
        <v>69</v>
      </c>
      <c r="D583" s="16" t="s">
        <v>68</v>
      </c>
      <c r="E583" s="17" t="n">
        <v>14</v>
      </c>
      <c r="F583" s="26" t="n">
        <v>0.273754022804211</v>
      </c>
      <c r="G583" s="17" t="n">
        <v>160</v>
      </c>
      <c r="H583" s="17" t="n">
        <v>600</v>
      </c>
      <c r="I583" s="17"/>
      <c r="J583" s="17" t="n">
        <v>5</v>
      </c>
      <c r="K583" s="17"/>
      <c r="L583" s="17"/>
      <c r="M583" s="17"/>
      <c r="N583" s="27" t="str">
        <f aca="false">IF(F583=_xlfn.MINIFS($F$2:$F$948,$A$2:$A$948,$A583,$B$2:$B$948,$B583),"BEST","")</f>
        <v/>
      </c>
    </row>
    <row r="584" customFormat="false" ht="15" hidden="false" customHeight="false" outlineLevel="0" collapsed="false">
      <c r="A584" s="16" t="s">
        <v>50</v>
      </c>
      <c r="B584" s="17" t="n">
        <v>10</v>
      </c>
      <c r="C584" s="17" t="s">
        <v>69</v>
      </c>
      <c r="D584" s="16" t="s">
        <v>68</v>
      </c>
      <c r="E584" s="17" t="n">
        <v>15</v>
      </c>
      <c r="F584" s="26" t="n">
        <v>0.219895247841949</v>
      </c>
      <c r="G584" s="17" t="n">
        <v>160</v>
      </c>
      <c r="H584" s="17" t="n">
        <v>600</v>
      </c>
      <c r="I584" s="17"/>
      <c r="J584" s="17" t="n">
        <v>5</v>
      </c>
      <c r="K584" s="17"/>
      <c r="L584" s="17"/>
      <c r="M584" s="17"/>
      <c r="N584" s="27" t="str">
        <f aca="false">IF(F584=_xlfn.MINIFS($F$2:$F$948,$A$2:$A$948,$A584,$B$2:$B$948,$B584),"BEST","")</f>
        <v/>
      </c>
    </row>
    <row r="585" customFormat="false" ht="15" hidden="false" customHeight="false" outlineLevel="0" collapsed="false">
      <c r="A585" s="16" t="s">
        <v>50</v>
      </c>
      <c r="B585" s="17" t="n">
        <v>10</v>
      </c>
      <c r="C585" s="17" t="s">
        <v>69</v>
      </c>
      <c r="D585" s="16" t="s">
        <v>68</v>
      </c>
      <c r="E585" s="17" t="n">
        <v>16</v>
      </c>
      <c r="F585" s="26" t="n">
        <v>0.277254099395623</v>
      </c>
      <c r="G585" s="17" t="n">
        <v>160</v>
      </c>
      <c r="H585" s="17" t="n">
        <v>600</v>
      </c>
      <c r="I585" s="17"/>
      <c r="J585" s="17" t="n">
        <v>5</v>
      </c>
      <c r="K585" s="17"/>
      <c r="L585" s="17"/>
      <c r="M585" s="17"/>
      <c r="N585" s="27" t="str">
        <f aca="false">IF(F585=_xlfn.MINIFS($F$2:$F$948,$A$2:$A$948,$A585,$B$2:$B$948,$B585),"BEST","")</f>
        <v/>
      </c>
    </row>
    <row r="586" customFormat="false" ht="15" hidden="false" customHeight="false" outlineLevel="0" collapsed="false">
      <c r="A586" s="16" t="s">
        <v>50</v>
      </c>
      <c r="B586" s="17" t="n">
        <v>10</v>
      </c>
      <c r="C586" s="17" t="s">
        <v>69</v>
      </c>
      <c r="D586" s="16" t="s">
        <v>68</v>
      </c>
      <c r="E586" s="17" t="n">
        <v>17</v>
      </c>
      <c r="F586" s="26" t="n">
        <v>0.243498127706863</v>
      </c>
      <c r="G586" s="17" t="n">
        <v>160</v>
      </c>
      <c r="H586" s="17" t="n">
        <v>600</v>
      </c>
      <c r="I586" s="17"/>
      <c r="J586" s="17" t="n">
        <v>5</v>
      </c>
      <c r="K586" s="17"/>
      <c r="L586" s="17"/>
      <c r="M586" s="17"/>
      <c r="N586" s="27" t="str">
        <f aca="false">IF(F586=_xlfn.MINIFS($F$2:$F$948,$A$2:$A$948,$A586,$B$2:$B$948,$B586),"BEST","")</f>
        <v/>
      </c>
    </row>
    <row r="587" customFormat="false" ht="15" hidden="false" customHeight="false" outlineLevel="0" collapsed="false">
      <c r="A587" s="16" t="s">
        <v>50</v>
      </c>
      <c r="B587" s="17" t="n">
        <v>10</v>
      </c>
      <c r="C587" s="17" t="s">
        <v>69</v>
      </c>
      <c r="D587" s="16" t="s">
        <v>68</v>
      </c>
      <c r="E587" s="17" t="n">
        <v>18</v>
      </c>
      <c r="F587" s="26" t="n">
        <v>0.141166623914683</v>
      </c>
      <c r="G587" s="17" t="n">
        <v>160</v>
      </c>
      <c r="H587" s="17" t="n">
        <v>600</v>
      </c>
      <c r="I587" s="17"/>
      <c r="J587" s="17" t="n">
        <v>5</v>
      </c>
      <c r="K587" s="17"/>
      <c r="L587" s="17"/>
      <c r="M587" s="17"/>
      <c r="N587" s="27" t="str">
        <f aca="false">IF(F587=_xlfn.MINIFS($F$2:$F$948,$A$2:$A$948,$A587,$B$2:$B$948,$B587),"BEST","")</f>
        <v/>
      </c>
    </row>
    <row r="588" customFormat="false" ht="15" hidden="false" customHeight="false" outlineLevel="0" collapsed="false">
      <c r="A588" s="16" t="s">
        <v>50</v>
      </c>
      <c r="B588" s="17" t="n">
        <v>10</v>
      </c>
      <c r="C588" s="17" t="s">
        <v>69</v>
      </c>
      <c r="D588" s="16" t="s">
        <v>68</v>
      </c>
      <c r="E588" s="17" t="n">
        <v>19</v>
      </c>
      <c r="F588" s="26" t="n">
        <v>0.191933798680869</v>
      </c>
      <c r="G588" s="17" t="n">
        <v>160</v>
      </c>
      <c r="H588" s="17" t="n">
        <v>600</v>
      </c>
      <c r="I588" s="17"/>
      <c r="J588" s="17" t="n">
        <v>5</v>
      </c>
      <c r="K588" s="17"/>
      <c r="L588" s="17"/>
      <c r="M588" s="17"/>
      <c r="N588" s="27" t="str">
        <f aca="false">IF(F588=_xlfn.MINIFS($F$2:$F$948,$A$2:$A$948,$A588,$B$2:$B$948,$B588),"BEST","")</f>
        <v/>
      </c>
    </row>
    <row r="589" customFormat="false" ht="15" hidden="false" customHeight="false" outlineLevel="0" collapsed="false">
      <c r="A589" s="16" t="s">
        <v>50</v>
      </c>
      <c r="B589" s="17" t="n">
        <v>10</v>
      </c>
      <c r="C589" s="17" t="s">
        <v>70</v>
      </c>
      <c r="D589" s="16" t="s">
        <v>68</v>
      </c>
      <c r="E589" s="17" t="n">
        <v>0</v>
      </c>
      <c r="F589" s="26" t="n">
        <v>0.00200572884715642</v>
      </c>
      <c r="G589" s="17" t="n">
        <v>56</v>
      </c>
      <c r="H589" s="17" t="n">
        <v>600</v>
      </c>
      <c r="I589" s="17"/>
      <c r="J589" s="17" t="n">
        <v>5</v>
      </c>
      <c r="K589" s="17"/>
      <c r="L589" s="17"/>
      <c r="M589" s="17" t="n">
        <v>3</v>
      </c>
      <c r="N589" s="27" t="str">
        <f aca="false">IF(F589=_xlfn.MINIFS($F$2:$F$948,$A$2:$A$948,$A589,$B$2:$B$948,$B589),"BEST","")</f>
        <v/>
      </c>
    </row>
    <row r="590" customFormat="false" ht="15" hidden="false" customHeight="false" outlineLevel="0" collapsed="false">
      <c r="A590" s="16" t="s">
        <v>50</v>
      </c>
      <c r="B590" s="17" t="n">
        <v>10</v>
      </c>
      <c r="C590" s="17" t="s">
        <v>70</v>
      </c>
      <c r="D590" s="16" t="s">
        <v>68</v>
      </c>
      <c r="E590" s="17" t="n">
        <v>1</v>
      </c>
      <c r="F590" s="26" t="n">
        <v>0.00200572884715642</v>
      </c>
      <c r="G590" s="17" t="n">
        <v>56</v>
      </c>
      <c r="H590" s="17" t="n">
        <v>600</v>
      </c>
      <c r="I590" s="17"/>
      <c r="J590" s="17" t="n">
        <v>5</v>
      </c>
      <c r="K590" s="17"/>
      <c r="L590" s="17"/>
      <c r="M590" s="17" t="n">
        <v>3</v>
      </c>
      <c r="N590" s="27" t="str">
        <f aca="false">IF(F590=_xlfn.MINIFS($F$2:$F$948,$A$2:$A$948,$A590,$B$2:$B$948,$B590),"BEST","")</f>
        <v/>
      </c>
    </row>
    <row r="591" customFormat="false" ht="15" hidden="false" customHeight="false" outlineLevel="0" collapsed="false">
      <c r="A591" s="16" t="s">
        <v>50</v>
      </c>
      <c r="B591" s="17" t="n">
        <v>10</v>
      </c>
      <c r="C591" s="17" t="s">
        <v>70</v>
      </c>
      <c r="D591" s="16" t="s">
        <v>68</v>
      </c>
      <c r="E591" s="17" t="n">
        <v>2</v>
      </c>
      <c r="F591" s="26" t="n">
        <v>0.00200572884715642</v>
      </c>
      <c r="G591" s="17" t="n">
        <v>56</v>
      </c>
      <c r="H591" s="17" t="n">
        <v>600</v>
      </c>
      <c r="I591" s="17"/>
      <c r="J591" s="17" t="n">
        <v>5</v>
      </c>
      <c r="K591" s="17"/>
      <c r="L591" s="17"/>
      <c r="M591" s="17" t="n">
        <v>3</v>
      </c>
      <c r="N591" s="27" t="str">
        <f aca="false">IF(F591=_xlfn.MINIFS($F$2:$F$948,$A$2:$A$948,$A591,$B$2:$B$948,$B591),"BEST","")</f>
        <v/>
      </c>
    </row>
    <row r="592" customFormat="false" ht="15" hidden="false" customHeight="false" outlineLevel="0" collapsed="false">
      <c r="A592" s="16" t="s">
        <v>50</v>
      </c>
      <c r="B592" s="17" t="n">
        <v>10</v>
      </c>
      <c r="C592" s="17" t="s">
        <v>70</v>
      </c>
      <c r="D592" s="16" t="s">
        <v>68</v>
      </c>
      <c r="E592" s="17" t="n">
        <v>3</v>
      </c>
      <c r="F592" s="26" t="n">
        <v>0.00200572884715642</v>
      </c>
      <c r="G592" s="17" t="n">
        <v>56</v>
      </c>
      <c r="H592" s="17" t="n">
        <v>600</v>
      </c>
      <c r="I592" s="17"/>
      <c r="J592" s="17" t="n">
        <v>5</v>
      </c>
      <c r="K592" s="17"/>
      <c r="L592" s="17"/>
      <c r="M592" s="17" t="n">
        <v>3</v>
      </c>
      <c r="N592" s="27" t="str">
        <f aca="false">IF(F592=_xlfn.MINIFS($F$2:$F$948,$A$2:$A$948,$A592,$B$2:$B$948,$B592),"BEST","")</f>
        <v/>
      </c>
    </row>
    <row r="593" customFormat="false" ht="15" hidden="false" customHeight="false" outlineLevel="0" collapsed="false">
      <c r="A593" s="16" t="s">
        <v>50</v>
      </c>
      <c r="B593" s="17" t="n">
        <v>10</v>
      </c>
      <c r="C593" s="17" t="s">
        <v>70</v>
      </c>
      <c r="D593" s="16" t="s">
        <v>68</v>
      </c>
      <c r="E593" s="17" t="n">
        <v>4</v>
      </c>
      <c r="F593" s="26" t="n">
        <v>0.00200572884715642</v>
      </c>
      <c r="G593" s="17" t="n">
        <v>56</v>
      </c>
      <c r="H593" s="17" t="n">
        <v>600</v>
      </c>
      <c r="I593" s="17"/>
      <c r="J593" s="17" t="n">
        <v>5</v>
      </c>
      <c r="K593" s="17"/>
      <c r="L593" s="17"/>
      <c r="M593" s="17" t="n">
        <v>3</v>
      </c>
      <c r="N593" s="27" t="str">
        <f aca="false">IF(F593=_xlfn.MINIFS($F$2:$F$948,$A$2:$A$948,$A593,$B$2:$B$948,$B593),"BEST","")</f>
        <v/>
      </c>
    </row>
    <row r="594" customFormat="false" ht="15" hidden="false" customHeight="false" outlineLevel="0" collapsed="false">
      <c r="A594" s="16" t="s">
        <v>50</v>
      </c>
      <c r="B594" s="17" t="n">
        <v>10</v>
      </c>
      <c r="C594" s="17" t="s">
        <v>70</v>
      </c>
      <c r="D594" s="16" t="s">
        <v>68</v>
      </c>
      <c r="E594" s="17" t="n">
        <v>5</v>
      </c>
      <c r="F594" s="26" t="n">
        <v>0.00200572884715642</v>
      </c>
      <c r="G594" s="17" t="n">
        <v>56</v>
      </c>
      <c r="H594" s="17" t="n">
        <v>600</v>
      </c>
      <c r="I594" s="17"/>
      <c r="J594" s="17" t="n">
        <v>5</v>
      </c>
      <c r="K594" s="17"/>
      <c r="L594" s="17"/>
      <c r="M594" s="17" t="n">
        <v>3</v>
      </c>
      <c r="N594" s="27" t="str">
        <f aca="false">IF(F594=_xlfn.MINIFS($F$2:$F$948,$A$2:$A$948,$A594,$B$2:$B$948,$B594),"BEST","")</f>
        <v/>
      </c>
    </row>
    <row r="595" customFormat="false" ht="15" hidden="false" customHeight="false" outlineLevel="0" collapsed="false">
      <c r="A595" s="16" t="s">
        <v>50</v>
      </c>
      <c r="B595" s="17" t="n">
        <v>10</v>
      </c>
      <c r="C595" s="17" t="s">
        <v>70</v>
      </c>
      <c r="D595" s="16" t="s">
        <v>68</v>
      </c>
      <c r="E595" s="17" t="n">
        <v>6</v>
      </c>
      <c r="F595" s="26" t="n">
        <v>0.00200572884715642</v>
      </c>
      <c r="G595" s="17" t="n">
        <v>56</v>
      </c>
      <c r="H595" s="17" t="n">
        <v>600</v>
      </c>
      <c r="I595" s="17"/>
      <c r="J595" s="17" t="n">
        <v>5</v>
      </c>
      <c r="K595" s="17"/>
      <c r="L595" s="17"/>
      <c r="M595" s="17" t="n">
        <v>3</v>
      </c>
      <c r="N595" s="27" t="str">
        <f aca="false">IF(F595=_xlfn.MINIFS($F$2:$F$948,$A$2:$A$948,$A595,$B$2:$B$948,$B595),"BEST","")</f>
        <v/>
      </c>
    </row>
    <row r="596" customFormat="false" ht="15" hidden="false" customHeight="false" outlineLevel="0" collapsed="false">
      <c r="A596" s="16" t="s">
        <v>50</v>
      </c>
      <c r="B596" s="17" t="n">
        <v>10</v>
      </c>
      <c r="C596" s="17" t="s">
        <v>70</v>
      </c>
      <c r="D596" s="16" t="s">
        <v>68</v>
      </c>
      <c r="E596" s="17" t="n">
        <v>7</v>
      </c>
      <c r="F596" s="26" t="n">
        <v>0.00200572884715642</v>
      </c>
      <c r="G596" s="17" t="n">
        <v>56</v>
      </c>
      <c r="H596" s="17" t="n">
        <v>600</v>
      </c>
      <c r="I596" s="17"/>
      <c r="J596" s="17" t="n">
        <v>5</v>
      </c>
      <c r="K596" s="17"/>
      <c r="L596" s="17"/>
      <c r="M596" s="17" t="n">
        <v>3</v>
      </c>
      <c r="N596" s="27" t="str">
        <f aca="false">IF(F596=_xlfn.MINIFS($F$2:$F$948,$A$2:$A$948,$A596,$B$2:$B$948,$B596),"BEST","")</f>
        <v/>
      </c>
    </row>
    <row r="597" customFormat="false" ht="15" hidden="false" customHeight="false" outlineLevel="0" collapsed="false">
      <c r="A597" s="16" t="s">
        <v>50</v>
      </c>
      <c r="B597" s="17" t="n">
        <v>10</v>
      </c>
      <c r="C597" s="17" t="s">
        <v>70</v>
      </c>
      <c r="D597" s="16" t="s">
        <v>68</v>
      </c>
      <c r="E597" s="17" t="n">
        <v>8</v>
      </c>
      <c r="F597" s="26" t="n">
        <v>0.00200572884715642</v>
      </c>
      <c r="G597" s="17" t="n">
        <v>56</v>
      </c>
      <c r="H597" s="17" t="n">
        <v>600</v>
      </c>
      <c r="I597" s="17"/>
      <c r="J597" s="17" t="n">
        <v>5</v>
      </c>
      <c r="K597" s="17"/>
      <c r="L597" s="17"/>
      <c r="M597" s="17" t="n">
        <v>3</v>
      </c>
      <c r="N597" s="27" t="str">
        <f aca="false">IF(F597=_xlfn.MINIFS($F$2:$F$948,$A$2:$A$948,$A597,$B$2:$B$948,$B597),"BEST","")</f>
        <v/>
      </c>
    </row>
    <row r="598" customFormat="false" ht="15" hidden="false" customHeight="false" outlineLevel="0" collapsed="false">
      <c r="A598" s="16" t="s">
        <v>50</v>
      </c>
      <c r="B598" s="17" t="n">
        <v>10</v>
      </c>
      <c r="C598" s="17" t="s">
        <v>70</v>
      </c>
      <c r="D598" s="16" t="s">
        <v>68</v>
      </c>
      <c r="E598" s="17" t="n">
        <v>9</v>
      </c>
      <c r="F598" s="26" t="n">
        <v>0.00200572884715642</v>
      </c>
      <c r="G598" s="17" t="n">
        <v>56</v>
      </c>
      <c r="H598" s="17" t="n">
        <v>600</v>
      </c>
      <c r="I598" s="17"/>
      <c r="J598" s="17" t="n">
        <v>5</v>
      </c>
      <c r="K598" s="17"/>
      <c r="L598" s="17"/>
      <c r="M598" s="17" t="n">
        <v>3</v>
      </c>
      <c r="N598" s="27" t="str">
        <f aca="false">IF(F598=_xlfn.MINIFS($F$2:$F$948,$A$2:$A$948,$A598,$B$2:$B$948,$B598),"BEST","")</f>
        <v/>
      </c>
    </row>
    <row r="599" customFormat="false" ht="15" hidden="false" customHeight="false" outlineLevel="0" collapsed="false">
      <c r="A599" s="16" t="s">
        <v>50</v>
      </c>
      <c r="B599" s="17" t="n">
        <v>10</v>
      </c>
      <c r="C599" s="17" t="s">
        <v>70</v>
      </c>
      <c r="D599" s="16" t="s">
        <v>68</v>
      </c>
      <c r="E599" s="17" t="n">
        <v>10</v>
      </c>
      <c r="F599" s="26" t="n">
        <v>0.00200572884715642</v>
      </c>
      <c r="G599" s="17" t="n">
        <v>56</v>
      </c>
      <c r="H599" s="17" t="n">
        <v>600</v>
      </c>
      <c r="I599" s="17"/>
      <c r="J599" s="17" t="n">
        <v>5</v>
      </c>
      <c r="K599" s="17"/>
      <c r="L599" s="17"/>
      <c r="M599" s="17" t="n">
        <v>3</v>
      </c>
      <c r="N599" s="27" t="str">
        <f aca="false">IF(F599=_xlfn.MINIFS($F$2:$F$948,$A$2:$A$948,$A599,$B$2:$B$948,$B599),"BEST","")</f>
        <v/>
      </c>
    </row>
    <row r="600" customFormat="false" ht="15" hidden="false" customHeight="false" outlineLevel="0" collapsed="false">
      <c r="A600" s="16" t="s">
        <v>50</v>
      </c>
      <c r="B600" s="17" t="n">
        <v>10</v>
      </c>
      <c r="C600" s="17" t="s">
        <v>70</v>
      </c>
      <c r="D600" s="16" t="s">
        <v>68</v>
      </c>
      <c r="E600" s="17" t="n">
        <v>11</v>
      </c>
      <c r="F600" s="26" t="n">
        <v>0.00200572884715642</v>
      </c>
      <c r="G600" s="17" t="n">
        <v>56</v>
      </c>
      <c r="H600" s="17" t="n">
        <v>600</v>
      </c>
      <c r="I600" s="17"/>
      <c r="J600" s="17" t="n">
        <v>5</v>
      </c>
      <c r="K600" s="17"/>
      <c r="L600" s="17"/>
      <c r="M600" s="17" t="n">
        <v>3</v>
      </c>
      <c r="N600" s="27" t="str">
        <f aca="false">IF(F600=_xlfn.MINIFS($F$2:$F$948,$A$2:$A$948,$A600,$B$2:$B$948,$B600),"BEST","")</f>
        <v/>
      </c>
    </row>
    <row r="601" customFormat="false" ht="15" hidden="false" customHeight="false" outlineLevel="0" collapsed="false">
      <c r="A601" s="16" t="s">
        <v>50</v>
      </c>
      <c r="B601" s="17" t="n">
        <v>10</v>
      </c>
      <c r="C601" s="17" t="s">
        <v>70</v>
      </c>
      <c r="D601" s="16" t="s">
        <v>68</v>
      </c>
      <c r="E601" s="17" t="n">
        <v>12</v>
      </c>
      <c r="F601" s="26" t="n">
        <v>0.00200572884715642</v>
      </c>
      <c r="G601" s="17" t="n">
        <v>56</v>
      </c>
      <c r="H601" s="17" t="n">
        <v>600</v>
      </c>
      <c r="I601" s="17"/>
      <c r="J601" s="17" t="n">
        <v>5</v>
      </c>
      <c r="K601" s="17"/>
      <c r="L601" s="17"/>
      <c r="M601" s="17" t="n">
        <v>3</v>
      </c>
      <c r="N601" s="27" t="str">
        <f aca="false">IF(F601=_xlfn.MINIFS($F$2:$F$948,$A$2:$A$948,$A601,$B$2:$B$948,$B601),"BEST","")</f>
        <v/>
      </c>
    </row>
    <row r="602" customFormat="false" ht="15" hidden="false" customHeight="false" outlineLevel="0" collapsed="false">
      <c r="A602" s="16" t="s">
        <v>50</v>
      </c>
      <c r="B602" s="17" t="n">
        <v>10</v>
      </c>
      <c r="C602" s="17" t="s">
        <v>70</v>
      </c>
      <c r="D602" s="16" t="s">
        <v>68</v>
      </c>
      <c r="E602" s="17" t="n">
        <v>13</v>
      </c>
      <c r="F602" s="26" t="n">
        <v>0.00200572884715642</v>
      </c>
      <c r="G602" s="17" t="n">
        <v>56</v>
      </c>
      <c r="H602" s="17" t="n">
        <v>600</v>
      </c>
      <c r="I602" s="17"/>
      <c r="J602" s="17" t="n">
        <v>5</v>
      </c>
      <c r="K602" s="17"/>
      <c r="L602" s="17"/>
      <c r="M602" s="17" t="n">
        <v>3</v>
      </c>
      <c r="N602" s="27" t="str">
        <f aca="false">IF(F602=_xlfn.MINIFS($F$2:$F$948,$A$2:$A$948,$A602,$B$2:$B$948,$B602),"BEST","")</f>
        <v/>
      </c>
    </row>
    <row r="603" customFormat="false" ht="15" hidden="false" customHeight="false" outlineLevel="0" collapsed="false">
      <c r="A603" s="16" t="s">
        <v>50</v>
      </c>
      <c r="B603" s="17" t="n">
        <v>10</v>
      </c>
      <c r="C603" s="17" t="s">
        <v>70</v>
      </c>
      <c r="D603" s="16" t="s">
        <v>68</v>
      </c>
      <c r="E603" s="17" t="n">
        <v>14</v>
      </c>
      <c r="F603" s="26" t="n">
        <v>0.00200572884715642</v>
      </c>
      <c r="G603" s="17" t="n">
        <v>56</v>
      </c>
      <c r="H603" s="17" t="n">
        <v>600</v>
      </c>
      <c r="I603" s="17"/>
      <c r="J603" s="17" t="n">
        <v>5</v>
      </c>
      <c r="K603" s="17"/>
      <c r="L603" s="17"/>
      <c r="M603" s="17" t="n">
        <v>3</v>
      </c>
      <c r="N603" s="27" t="str">
        <f aca="false">IF(F603=_xlfn.MINIFS($F$2:$F$948,$A$2:$A$948,$A603,$B$2:$B$948,$B603),"BEST","")</f>
        <v/>
      </c>
    </row>
    <row r="604" customFormat="false" ht="15" hidden="false" customHeight="false" outlineLevel="0" collapsed="false">
      <c r="A604" s="16" t="s">
        <v>50</v>
      </c>
      <c r="B604" s="17" t="n">
        <v>10</v>
      </c>
      <c r="C604" s="17" t="s">
        <v>70</v>
      </c>
      <c r="D604" s="16" t="s">
        <v>68</v>
      </c>
      <c r="E604" s="17" t="n">
        <v>15</v>
      </c>
      <c r="F604" s="26" t="n">
        <v>0.00200572884715642</v>
      </c>
      <c r="G604" s="17" t="n">
        <v>56</v>
      </c>
      <c r="H604" s="17" t="n">
        <v>600</v>
      </c>
      <c r="I604" s="17"/>
      <c r="J604" s="17" t="n">
        <v>5</v>
      </c>
      <c r="K604" s="17"/>
      <c r="L604" s="17"/>
      <c r="M604" s="17" t="n">
        <v>3</v>
      </c>
      <c r="N604" s="27" t="str">
        <f aca="false">IF(F604=_xlfn.MINIFS($F$2:$F$948,$A$2:$A$948,$A604,$B$2:$B$948,$B604),"BEST","")</f>
        <v/>
      </c>
    </row>
    <row r="605" customFormat="false" ht="15" hidden="false" customHeight="false" outlineLevel="0" collapsed="false">
      <c r="A605" s="16" t="s">
        <v>50</v>
      </c>
      <c r="B605" s="17" t="n">
        <v>10</v>
      </c>
      <c r="C605" s="17" t="s">
        <v>70</v>
      </c>
      <c r="D605" s="16" t="s">
        <v>68</v>
      </c>
      <c r="E605" s="17" t="n">
        <v>16</v>
      </c>
      <c r="F605" s="26" t="n">
        <v>0.00200572884715642</v>
      </c>
      <c r="G605" s="17" t="n">
        <v>56</v>
      </c>
      <c r="H605" s="17" t="n">
        <v>600</v>
      </c>
      <c r="I605" s="17"/>
      <c r="J605" s="17" t="n">
        <v>5</v>
      </c>
      <c r="K605" s="17"/>
      <c r="L605" s="17"/>
      <c r="M605" s="17" t="n">
        <v>3</v>
      </c>
      <c r="N605" s="27" t="str">
        <f aca="false">IF(F605=_xlfn.MINIFS($F$2:$F$948,$A$2:$A$948,$A605,$B$2:$B$948,$B605),"BEST","")</f>
        <v/>
      </c>
    </row>
    <row r="606" customFormat="false" ht="15" hidden="false" customHeight="false" outlineLevel="0" collapsed="false">
      <c r="A606" s="16" t="s">
        <v>50</v>
      </c>
      <c r="B606" s="17" t="n">
        <v>10</v>
      </c>
      <c r="C606" s="17" t="s">
        <v>70</v>
      </c>
      <c r="D606" s="16" t="s">
        <v>68</v>
      </c>
      <c r="E606" s="17" t="n">
        <v>17</v>
      </c>
      <c r="F606" s="26" t="n">
        <v>0.00200572884715642</v>
      </c>
      <c r="G606" s="17" t="n">
        <v>56</v>
      </c>
      <c r="H606" s="17" t="n">
        <v>600</v>
      </c>
      <c r="I606" s="17"/>
      <c r="J606" s="17" t="n">
        <v>5</v>
      </c>
      <c r="K606" s="17"/>
      <c r="L606" s="17"/>
      <c r="M606" s="17" t="n">
        <v>3</v>
      </c>
      <c r="N606" s="27" t="str">
        <f aca="false">IF(F606=_xlfn.MINIFS($F$2:$F$948,$A$2:$A$948,$A606,$B$2:$B$948,$B606),"BEST","")</f>
        <v/>
      </c>
    </row>
    <row r="607" customFormat="false" ht="15" hidden="false" customHeight="false" outlineLevel="0" collapsed="false">
      <c r="A607" s="16" t="s">
        <v>50</v>
      </c>
      <c r="B607" s="17" t="n">
        <v>10</v>
      </c>
      <c r="C607" s="17" t="s">
        <v>70</v>
      </c>
      <c r="D607" s="16" t="s">
        <v>68</v>
      </c>
      <c r="E607" s="17" t="n">
        <v>18</v>
      </c>
      <c r="F607" s="26" t="n">
        <v>0.00200572884715642</v>
      </c>
      <c r="G607" s="17" t="n">
        <v>56</v>
      </c>
      <c r="H607" s="17" t="n">
        <v>600</v>
      </c>
      <c r="I607" s="17"/>
      <c r="J607" s="17" t="n">
        <v>5</v>
      </c>
      <c r="K607" s="17"/>
      <c r="L607" s="17"/>
      <c r="M607" s="17" t="n">
        <v>3</v>
      </c>
      <c r="N607" s="27" t="str">
        <f aca="false">IF(F607=_xlfn.MINIFS($F$2:$F$948,$A$2:$A$948,$A607,$B$2:$B$948,$B607),"BEST","")</f>
        <v/>
      </c>
    </row>
    <row r="608" customFormat="false" ht="15" hidden="false" customHeight="false" outlineLevel="0" collapsed="false">
      <c r="A608" s="16" t="s">
        <v>50</v>
      </c>
      <c r="B608" s="17" t="n">
        <v>10</v>
      </c>
      <c r="C608" s="17" t="s">
        <v>70</v>
      </c>
      <c r="D608" s="16" t="s">
        <v>68</v>
      </c>
      <c r="E608" s="17" t="n">
        <v>19</v>
      </c>
      <c r="F608" s="26" t="n">
        <v>0.00200572884715642</v>
      </c>
      <c r="G608" s="17" t="n">
        <v>56</v>
      </c>
      <c r="H608" s="17" t="n">
        <v>600</v>
      </c>
      <c r="I608" s="17"/>
      <c r="J608" s="17" t="n">
        <v>5</v>
      </c>
      <c r="K608" s="17"/>
      <c r="L608" s="17"/>
      <c r="M608" s="17" t="n">
        <v>3</v>
      </c>
      <c r="N608" s="27" t="str">
        <f aca="false">IF(F608=_xlfn.MINIFS($F$2:$F$948,$A$2:$A$948,$A608,$B$2:$B$948,$B608),"BEST","")</f>
        <v/>
      </c>
    </row>
    <row r="609" customFormat="false" ht="15" hidden="false" customHeight="false" outlineLevel="0" collapsed="false">
      <c r="A609" s="22" t="s">
        <v>50</v>
      </c>
      <c r="B609" s="23" t="n">
        <v>10</v>
      </c>
      <c r="C609" s="23" t="s">
        <v>71</v>
      </c>
      <c r="D609" s="22" t="s">
        <v>72</v>
      </c>
      <c r="E609" s="23" t="n">
        <v>0</v>
      </c>
      <c r="F609" s="28" t="n">
        <v>0.0121652855150792</v>
      </c>
      <c r="G609" s="23" t="n">
        <v>160</v>
      </c>
      <c r="H609" s="23" t="n">
        <v>600</v>
      </c>
      <c r="I609" s="23" t="n">
        <v>4</v>
      </c>
      <c r="J609" s="23" t="n">
        <v>5</v>
      </c>
      <c r="K609" s="22" t="s">
        <v>73</v>
      </c>
      <c r="L609" s="22" t="s">
        <v>74</v>
      </c>
      <c r="M609" s="23"/>
      <c r="N609" s="27" t="str">
        <f aca="false">IF(F609=_xlfn.MINIFS($F$2:$F$948,$A$2:$A$948,$A609,$B$2:$B$948,$B609),"BEST","")</f>
        <v/>
      </c>
    </row>
    <row r="610" customFormat="false" ht="15" hidden="false" customHeight="false" outlineLevel="0" collapsed="false">
      <c r="A610" s="22" t="s">
        <v>50</v>
      </c>
      <c r="B610" s="23" t="n">
        <v>10</v>
      </c>
      <c r="C610" s="23" t="s">
        <v>71</v>
      </c>
      <c r="D610" s="22" t="s">
        <v>72</v>
      </c>
      <c r="E610" s="23" t="n">
        <v>1</v>
      </c>
      <c r="F610" s="28" t="n">
        <v>0.0123762641549078</v>
      </c>
      <c r="G610" s="23" t="n">
        <v>160</v>
      </c>
      <c r="H610" s="23" t="n">
        <v>600</v>
      </c>
      <c r="I610" s="23" t="n">
        <v>4</v>
      </c>
      <c r="J610" s="23" t="n">
        <v>5</v>
      </c>
      <c r="K610" s="22" t="s">
        <v>73</v>
      </c>
      <c r="L610" s="22" t="s">
        <v>74</v>
      </c>
      <c r="M610" s="23"/>
      <c r="N610" s="27" t="str">
        <f aca="false">IF(F610=_xlfn.MINIFS($F$2:$F$948,$A$2:$A$948,$A610,$B$2:$B$948,$B610),"BEST","")</f>
        <v/>
      </c>
    </row>
    <row r="611" customFormat="false" ht="15" hidden="false" customHeight="false" outlineLevel="0" collapsed="false">
      <c r="A611" s="22" t="s">
        <v>50</v>
      </c>
      <c r="B611" s="23" t="n">
        <v>10</v>
      </c>
      <c r="C611" s="23" t="s">
        <v>71</v>
      </c>
      <c r="D611" s="22" t="s">
        <v>72</v>
      </c>
      <c r="E611" s="23" t="n">
        <v>2</v>
      </c>
      <c r="F611" s="28" t="n">
        <v>0.0161909987677582</v>
      </c>
      <c r="G611" s="23" t="n">
        <v>160</v>
      </c>
      <c r="H611" s="23" t="n">
        <v>600</v>
      </c>
      <c r="I611" s="23" t="n">
        <v>4</v>
      </c>
      <c r="J611" s="23" t="n">
        <v>5</v>
      </c>
      <c r="K611" s="22" t="s">
        <v>73</v>
      </c>
      <c r="L611" s="22" t="s">
        <v>74</v>
      </c>
      <c r="M611" s="23"/>
      <c r="N611" s="27" t="str">
        <f aca="false">IF(F611=_xlfn.MINIFS($F$2:$F$948,$A$2:$A$948,$A611,$B$2:$B$948,$B611),"BEST","")</f>
        <v/>
      </c>
    </row>
    <row r="612" customFormat="false" ht="15" hidden="false" customHeight="false" outlineLevel="0" collapsed="false">
      <c r="A612" s="22" t="s">
        <v>50</v>
      </c>
      <c r="B612" s="23" t="n">
        <v>10</v>
      </c>
      <c r="C612" s="23" t="s">
        <v>71</v>
      </c>
      <c r="D612" s="22" t="s">
        <v>72</v>
      </c>
      <c r="E612" s="23" t="n">
        <v>3</v>
      </c>
      <c r="F612" s="28" t="n">
        <v>0.0117086541718751</v>
      </c>
      <c r="G612" s="23" t="n">
        <v>160</v>
      </c>
      <c r="H612" s="23" t="n">
        <v>600</v>
      </c>
      <c r="I612" s="23" t="n">
        <v>4</v>
      </c>
      <c r="J612" s="23" t="n">
        <v>5</v>
      </c>
      <c r="K612" s="22" t="s">
        <v>73</v>
      </c>
      <c r="L612" s="22" t="s">
        <v>74</v>
      </c>
      <c r="M612" s="23"/>
      <c r="N612" s="27" t="str">
        <f aca="false">IF(F612=_xlfn.MINIFS($F$2:$F$948,$A$2:$A$948,$A612,$B$2:$B$948,$B612),"BEST","")</f>
        <v/>
      </c>
    </row>
    <row r="613" customFormat="false" ht="15" hidden="false" customHeight="false" outlineLevel="0" collapsed="false">
      <c r="A613" s="22" t="s">
        <v>50</v>
      </c>
      <c r="B613" s="23" t="n">
        <v>10</v>
      </c>
      <c r="C613" s="23" t="s">
        <v>71</v>
      </c>
      <c r="D613" s="22" t="s">
        <v>72</v>
      </c>
      <c r="E613" s="23" t="n">
        <v>4</v>
      </c>
      <c r="F613" s="28" t="n">
        <v>0.012871768415571</v>
      </c>
      <c r="G613" s="23" t="n">
        <v>160</v>
      </c>
      <c r="H613" s="23" t="n">
        <v>600</v>
      </c>
      <c r="I613" s="23" t="n">
        <v>4</v>
      </c>
      <c r="J613" s="23" t="n">
        <v>5</v>
      </c>
      <c r="K613" s="22" t="s">
        <v>73</v>
      </c>
      <c r="L613" s="22" t="s">
        <v>74</v>
      </c>
      <c r="M613" s="23"/>
      <c r="N613" s="27" t="str">
        <f aca="false">IF(F613=_xlfn.MINIFS($F$2:$F$948,$A$2:$A$948,$A613,$B$2:$B$948,$B613),"BEST","")</f>
        <v/>
      </c>
    </row>
    <row r="614" customFormat="false" ht="15" hidden="false" customHeight="false" outlineLevel="0" collapsed="false">
      <c r="A614" s="16" t="s">
        <v>50</v>
      </c>
      <c r="B614" s="17" t="n">
        <v>12</v>
      </c>
      <c r="C614" s="17" t="s">
        <v>67</v>
      </c>
      <c r="D614" s="16" t="s">
        <v>68</v>
      </c>
      <c r="E614" s="17" t="n">
        <v>0</v>
      </c>
      <c r="F614" s="26" t="n">
        <v>0.000834529974969205</v>
      </c>
      <c r="G614" s="17" t="n">
        <v>192</v>
      </c>
      <c r="H614" s="17" t="n">
        <v>600</v>
      </c>
      <c r="I614" s="17"/>
      <c r="J614" s="17" t="n">
        <v>5</v>
      </c>
      <c r="K614" s="17"/>
      <c r="L614" s="17"/>
      <c r="M614" s="17"/>
      <c r="N614" s="27" t="str">
        <f aca="false">IF(F614=_xlfn.MINIFS($F$2:$F$948,$A$2:$A$948,$A614,$B$2:$B$948,$B614),"BEST","")</f>
        <v/>
      </c>
    </row>
    <row r="615" customFormat="false" ht="15" hidden="false" customHeight="false" outlineLevel="0" collapsed="false">
      <c r="A615" s="16" t="s">
        <v>50</v>
      </c>
      <c r="B615" s="17" t="n">
        <v>12</v>
      </c>
      <c r="C615" s="17" t="s">
        <v>67</v>
      </c>
      <c r="D615" s="16" t="s">
        <v>68</v>
      </c>
      <c r="E615" s="17" t="n">
        <v>1</v>
      </c>
      <c r="F615" s="26" t="n">
        <v>0.00120827378002322</v>
      </c>
      <c r="G615" s="17" t="n">
        <v>192</v>
      </c>
      <c r="H615" s="17" t="n">
        <v>600</v>
      </c>
      <c r="I615" s="17"/>
      <c r="J615" s="17" t="n">
        <v>5</v>
      </c>
      <c r="K615" s="17"/>
      <c r="L615" s="17"/>
      <c r="M615" s="17"/>
      <c r="N615" s="27" t="str">
        <f aca="false">IF(F615=_xlfn.MINIFS($F$2:$F$948,$A$2:$A$948,$A615,$B$2:$B$948,$B615),"BEST","")</f>
        <v/>
      </c>
    </row>
    <row r="616" customFormat="false" ht="15" hidden="false" customHeight="false" outlineLevel="0" collapsed="false">
      <c r="A616" s="16" t="s">
        <v>50</v>
      </c>
      <c r="B616" s="17" t="n">
        <v>12</v>
      </c>
      <c r="C616" s="17" t="s">
        <v>67</v>
      </c>
      <c r="D616" s="16" t="s">
        <v>68</v>
      </c>
      <c r="E616" s="17" t="n">
        <v>2</v>
      </c>
      <c r="F616" s="26" t="n">
        <v>0.00104022719547648</v>
      </c>
      <c r="G616" s="17" t="n">
        <v>192</v>
      </c>
      <c r="H616" s="17" t="n">
        <v>600</v>
      </c>
      <c r="I616" s="17"/>
      <c r="J616" s="17" t="n">
        <v>5</v>
      </c>
      <c r="K616" s="17"/>
      <c r="L616" s="17"/>
      <c r="M616" s="17"/>
      <c r="N616" s="27" t="str">
        <f aca="false">IF(F616=_xlfn.MINIFS($F$2:$F$948,$A$2:$A$948,$A616,$B$2:$B$948,$B616),"BEST","")</f>
        <v/>
      </c>
    </row>
    <row r="617" customFormat="false" ht="15" hidden="false" customHeight="false" outlineLevel="0" collapsed="false">
      <c r="A617" s="16" t="s">
        <v>50</v>
      </c>
      <c r="B617" s="17" t="n">
        <v>12</v>
      </c>
      <c r="C617" s="17" t="s">
        <v>67</v>
      </c>
      <c r="D617" s="16" t="s">
        <v>68</v>
      </c>
      <c r="E617" s="17" t="n">
        <v>3</v>
      </c>
      <c r="F617" s="26" t="n">
        <v>0.000995527501863763</v>
      </c>
      <c r="G617" s="17" t="n">
        <v>192</v>
      </c>
      <c r="H617" s="17" t="n">
        <v>600</v>
      </c>
      <c r="I617" s="17"/>
      <c r="J617" s="17" t="n">
        <v>5</v>
      </c>
      <c r="K617" s="17"/>
      <c r="L617" s="17"/>
      <c r="M617" s="17"/>
      <c r="N617" s="27" t="str">
        <f aca="false">IF(F617=_xlfn.MINIFS($F$2:$F$948,$A$2:$A$948,$A617,$B$2:$B$948,$B617),"BEST","")</f>
        <v/>
      </c>
    </row>
    <row r="618" customFormat="false" ht="15" hidden="false" customHeight="false" outlineLevel="0" collapsed="false">
      <c r="A618" s="16" t="s">
        <v>50</v>
      </c>
      <c r="B618" s="17" t="n">
        <v>12</v>
      </c>
      <c r="C618" s="17" t="s">
        <v>67</v>
      </c>
      <c r="D618" s="16" t="s">
        <v>68</v>
      </c>
      <c r="E618" s="17" t="n">
        <v>4</v>
      </c>
      <c r="F618" s="26" t="n">
        <v>0.00112424921306499</v>
      </c>
      <c r="G618" s="17" t="n">
        <v>192</v>
      </c>
      <c r="H618" s="17" t="n">
        <v>600</v>
      </c>
      <c r="I618" s="17"/>
      <c r="J618" s="17" t="n">
        <v>5</v>
      </c>
      <c r="K618" s="17"/>
      <c r="L618" s="17"/>
      <c r="M618" s="17"/>
      <c r="N618" s="27" t="str">
        <f aca="false">IF(F618=_xlfn.MINIFS($F$2:$F$948,$A$2:$A$948,$A618,$B$2:$B$948,$B618),"BEST","")</f>
        <v/>
      </c>
    </row>
    <row r="619" customFormat="false" ht="15" hidden="false" customHeight="false" outlineLevel="0" collapsed="false">
      <c r="A619" s="16" t="s">
        <v>50</v>
      </c>
      <c r="B619" s="17" t="n">
        <v>12</v>
      </c>
      <c r="C619" s="17" t="s">
        <v>67</v>
      </c>
      <c r="D619" s="16" t="s">
        <v>68</v>
      </c>
      <c r="E619" s="17" t="n">
        <v>5</v>
      </c>
      <c r="F619" s="26" t="n">
        <v>0.000814886451898202</v>
      </c>
      <c r="G619" s="17" t="n">
        <v>192</v>
      </c>
      <c r="H619" s="17" t="n">
        <v>600</v>
      </c>
      <c r="I619" s="17"/>
      <c r="J619" s="17" t="n">
        <v>5</v>
      </c>
      <c r="K619" s="17"/>
      <c r="L619" s="17"/>
      <c r="M619" s="17"/>
      <c r="N619" s="27" t="str">
        <f aca="false">IF(F619=_xlfn.MINIFS($F$2:$F$948,$A$2:$A$948,$A619,$B$2:$B$948,$B619),"BEST","")</f>
        <v/>
      </c>
    </row>
    <row r="620" customFormat="false" ht="15" hidden="false" customHeight="false" outlineLevel="0" collapsed="false">
      <c r="A620" s="16" t="s">
        <v>50</v>
      </c>
      <c r="B620" s="17" t="n">
        <v>12</v>
      </c>
      <c r="C620" s="17" t="s">
        <v>67</v>
      </c>
      <c r="D620" s="16" t="s">
        <v>68</v>
      </c>
      <c r="E620" s="17" t="n">
        <v>6</v>
      </c>
      <c r="F620" s="26" t="n">
        <v>0.00111744919274056</v>
      </c>
      <c r="G620" s="17" t="n">
        <v>192</v>
      </c>
      <c r="H620" s="17" t="n">
        <v>600</v>
      </c>
      <c r="I620" s="17"/>
      <c r="J620" s="17" t="n">
        <v>5</v>
      </c>
      <c r="K620" s="17"/>
      <c r="L620" s="17"/>
      <c r="M620" s="17"/>
      <c r="N620" s="27" t="str">
        <f aca="false">IF(F620=_xlfn.MINIFS($F$2:$F$948,$A$2:$A$948,$A620,$B$2:$B$948,$B620),"BEST","")</f>
        <v/>
      </c>
    </row>
    <row r="621" customFormat="false" ht="15" hidden="false" customHeight="false" outlineLevel="0" collapsed="false">
      <c r="A621" s="16" t="s">
        <v>50</v>
      </c>
      <c r="B621" s="17" t="n">
        <v>12</v>
      </c>
      <c r="C621" s="17" t="s">
        <v>67</v>
      </c>
      <c r="D621" s="16" t="s">
        <v>68</v>
      </c>
      <c r="E621" s="17" t="n">
        <v>7</v>
      </c>
      <c r="F621" s="26" t="n">
        <v>0.00113168264489298</v>
      </c>
      <c r="G621" s="17" t="n">
        <v>192</v>
      </c>
      <c r="H621" s="17" t="n">
        <v>600</v>
      </c>
      <c r="I621" s="17"/>
      <c r="J621" s="17" t="n">
        <v>5</v>
      </c>
      <c r="K621" s="17"/>
      <c r="L621" s="17"/>
      <c r="M621" s="17"/>
      <c r="N621" s="27" t="str">
        <f aca="false">IF(F621=_xlfn.MINIFS($F$2:$F$948,$A$2:$A$948,$A621,$B$2:$B$948,$B621),"BEST","")</f>
        <v/>
      </c>
    </row>
    <row r="622" customFormat="false" ht="15" hidden="false" customHeight="false" outlineLevel="0" collapsed="false">
      <c r="A622" s="16" t="s">
        <v>50</v>
      </c>
      <c r="B622" s="17" t="n">
        <v>12</v>
      </c>
      <c r="C622" s="17" t="s">
        <v>67</v>
      </c>
      <c r="D622" s="16" t="s">
        <v>68</v>
      </c>
      <c r="E622" s="17" t="n">
        <v>8</v>
      </c>
      <c r="F622" s="26" t="n">
        <v>0.00123150626046414</v>
      </c>
      <c r="G622" s="17" t="n">
        <v>192</v>
      </c>
      <c r="H622" s="17" t="n">
        <v>600</v>
      </c>
      <c r="I622" s="17"/>
      <c r="J622" s="17" t="n">
        <v>5</v>
      </c>
      <c r="K622" s="17"/>
      <c r="L622" s="17"/>
      <c r="M622" s="17"/>
      <c r="N622" s="27" t="str">
        <f aca="false">IF(F622=_xlfn.MINIFS($F$2:$F$948,$A$2:$A$948,$A622,$B$2:$B$948,$B622),"BEST","")</f>
        <v/>
      </c>
    </row>
    <row r="623" customFormat="false" ht="15" hidden="false" customHeight="false" outlineLevel="0" collapsed="false">
      <c r="A623" s="16" t="s">
        <v>50</v>
      </c>
      <c r="B623" s="17" t="n">
        <v>12</v>
      </c>
      <c r="C623" s="17" t="s">
        <v>67</v>
      </c>
      <c r="D623" s="16" t="s">
        <v>68</v>
      </c>
      <c r="E623" s="17" t="n">
        <v>9</v>
      </c>
      <c r="F623" s="26" t="n">
        <v>0.00107735484444412</v>
      </c>
      <c r="G623" s="17" t="n">
        <v>192</v>
      </c>
      <c r="H623" s="17" t="n">
        <v>600</v>
      </c>
      <c r="I623" s="17"/>
      <c r="J623" s="17" t="n">
        <v>5</v>
      </c>
      <c r="K623" s="17"/>
      <c r="L623" s="17"/>
      <c r="M623" s="17"/>
      <c r="N623" s="27" t="str">
        <f aca="false">IF(F623=_xlfn.MINIFS($F$2:$F$948,$A$2:$A$948,$A623,$B$2:$B$948,$B623),"BEST","")</f>
        <v/>
      </c>
    </row>
    <row r="624" customFormat="false" ht="15" hidden="false" customHeight="false" outlineLevel="0" collapsed="false">
      <c r="A624" s="16" t="s">
        <v>50</v>
      </c>
      <c r="B624" s="17" t="n">
        <v>12</v>
      </c>
      <c r="C624" s="17" t="s">
        <v>67</v>
      </c>
      <c r="D624" s="16" t="s">
        <v>68</v>
      </c>
      <c r="E624" s="17" t="n">
        <v>10</v>
      </c>
      <c r="F624" s="26" t="n">
        <v>0.000860528249200616</v>
      </c>
      <c r="G624" s="17" t="n">
        <v>192</v>
      </c>
      <c r="H624" s="17" t="n">
        <v>600</v>
      </c>
      <c r="I624" s="17"/>
      <c r="J624" s="17" t="n">
        <v>5</v>
      </c>
      <c r="K624" s="17"/>
      <c r="L624" s="17"/>
      <c r="M624" s="17"/>
      <c r="N624" s="27" t="str">
        <f aca="false">IF(F624=_xlfn.MINIFS($F$2:$F$948,$A$2:$A$948,$A624,$B$2:$B$948,$B624),"BEST","")</f>
        <v/>
      </c>
    </row>
    <row r="625" customFormat="false" ht="15" hidden="false" customHeight="false" outlineLevel="0" collapsed="false">
      <c r="A625" s="16" t="s">
        <v>50</v>
      </c>
      <c r="B625" s="17" t="n">
        <v>12</v>
      </c>
      <c r="C625" s="17" t="s">
        <v>67</v>
      </c>
      <c r="D625" s="16" t="s">
        <v>68</v>
      </c>
      <c r="E625" s="17" t="n">
        <v>11</v>
      </c>
      <c r="F625" s="26" t="n">
        <v>0.00103704011784862</v>
      </c>
      <c r="G625" s="17" t="n">
        <v>192</v>
      </c>
      <c r="H625" s="17" t="n">
        <v>600</v>
      </c>
      <c r="I625" s="17"/>
      <c r="J625" s="17" t="n">
        <v>5</v>
      </c>
      <c r="K625" s="17"/>
      <c r="L625" s="17"/>
      <c r="M625" s="17"/>
      <c r="N625" s="27" t="str">
        <f aca="false">IF(F625=_xlfn.MINIFS($F$2:$F$948,$A$2:$A$948,$A625,$B$2:$B$948,$B625),"BEST","")</f>
        <v/>
      </c>
    </row>
    <row r="626" customFormat="false" ht="15" hidden="false" customHeight="false" outlineLevel="0" collapsed="false">
      <c r="A626" s="16" t="s">
        <v>50</v>
      </c>
      <c r="B626" s="17" t="n">
        <v>12</v>
      </c>
      <c r="C626" s="17" t="s">
        <v>67</v>
      </c>
      <c r="D626" s="16" t="s">
        <v>68</v>
      </c>
      <c r="E626" s="17" t="n">
        <v>12</v>
      </c>
      <c r="F626" s="26" t="n">
        <v>0.00130251591019127</v>
      </c>
      <c r="G626" s="17" t="n">
        <v>192</v>
      </c>
      <c r="H626" s="17" t="n">
        <v>600</v>
      </c>
      <c r="I626" s="17"/>
      <c r="J626" s="17" t="n">
        <v>5</v>
      </c>
      <c r="K626" s="17"/>
      <c r="L626" s="17"/>
      <c r="M626" s="17"/>
      <c r="N626" s="27" t="str">
        <f aca="false">IF(F626=_xlfn.MINIFS($F$2:$F$948,$A$2:$A$948,$A626,$B$2:$B$948,$B626),"BEST","")</f>
        <v/>
      </c>
    </row>
    <row r="627" customFormat="false" ht="15" hidden="false" customHeight="false" outlineLevel="0" collapsed="false">
      <c r="A627" s="16" t="s">
        <v>50</v>
      </c>
      <c r="B627" s="17" t="n">
        <v>12</v>
      </c>
      <c r="C627" s="17" t="s">
        <v>67</v>
      </c>
      <c r="D627" s="16" t="s">
        <v>68</v>
      </c>
      <c r="E627" s="17" t="n">
        <v>13</v>
      </c>
      <c r="F627" s="26" t="n">
        <v>0.00111987908080928</v>
      </c>
      <c r="G627" s="17" t="n">
        <v>192</v>
      </c>
      <c r="H627" s="17" t="n">
        <v>600</v>
      </c>
      <c r="I627" s="17"/>
      <c r="J627" s="17" t="n">
        <v>5</v>
      </c>
      <c r="K627" s="17"/>
      <c r="L627" s="17"/>
      <c r="M627" s="17"/>
      <c r="N627" s="27" t="str">
        <f aca="false">IF(F627=_xlfn.MINIFS($F$2:$F$948,$A$2:$A$948,$A627,$B$2:$B$948,$B627),"BEST","")</f>
        <v/>
      </c>
    </row>
    <row r="628" customFormat="false" ht="15" hidden="false" customHeight="false" outlineLevel="0" collapsed="false">
      <c r="A628" s="16" t="s">
        <v>50</v>
      </c>
      <c r="B628" s="17" t="n">
        <v>12</v>
      </c>
      <c r="C628" s="17" t="s">
        <v>67</v>
      </c>
      <c r="D628" s="16" t="s">
        <v>68</v>
      </c>
      <c r="E628" s="17" t="n">
        <v>14</v>
      </c>
      <c r="F628" s="26" t="n">
        <v>0.00105729120152679</v>
      </c>
      <c r="G628" s="17" t="n">
        <v>192</v>
      </c>
      <c r="H628" s="17" t="n">
        <v>600</v>
      </c>
      <c r="I628" s="17"/>
      <c r="J628" s="17" t="n">
        <v>5</v>
      </c>
      <c r="K628" s="17"/>
      <c r="L628" s="17"/>
      <c r="M628" s="17"/>
      <c r="N628" s="27" t="str">
        <f aca="false">IF(F628=_xlfn.MINIFS($F$2:$F$948,$A$2:$A$948,$A628,$B$2:$B$948,$B628),"BEST","")</f>
        <v/>
      </c>
    </row>
    <row r="629" customFormat="false" ht="15" hidden="false" customHeight="false" outlineLevel="0" collapsed="false">
      <c r="A629" s="16" t="s">
        <v>50</v>
      </c>
      <c r="B629" s="17" t="n">
        <v>12</v>
      </c>
      <c r="C629" s="17" t="s">
        <v>67</v>
      </c>
      <c r="D629" s="16" t="s">
        <v>68</v>
      </c>
      <c r="E629" s="17" t="n">
        <v>15</v>
      </c>
      <c r="F629" s="26" t="n">
        <v>0.000800346082921851</v>
      </c>
      <c r="G629" s="17" t="n">
        <v>192</v>
      </c>
      <c r="H629" s="17" t="n">
        <v>600</v>
      </c>
      <c r="I629" s="17"/>
      <c r="J629" s="17" t="n">
        <v>5</v>
      </c>
      <c r="K629" s="17"/>
      <c r="L629" s="17"/>
      <c r="M629" s="17"/>
      <c r="N629" s="27" t="str">
        <f aca="false">IF(F629=_xlfn.MINIFS($F$2:$F$948,$A$2:$A$948,$A629,$B$2:$B$948,$B629),"BEST","")</f>
        <v>BEST</v>
      </c>
    </row>
    <row r="630" customFormat="false" ht="15" hidden="false" customHeight="false" outlineLevel="0" collapsed="false">
      <c r="A630" s="16" t="s">
        <v>50</v>
      </c>
      <c r="B630" s="17" t="n">
        <v>12</v>
      </c>
      <c r="C630" s="17" t="s">
        <v>67</v>
      </c>
      <c r="D630" s="16" t="s">
        <v>68</v>
      </c>
      <c r="E630" s="17" t="n">
        <v>16</v>
      </c>
      <c r="F630" s="26" t="n">
        <v>0.000848309230444584</v>
      </c>
      <c r="G630" s="17" t="n">
        <v>192</v>
      </c>
      <c r="H630" s="17" t="n">
        <v>600</v>
      </c>
      <c r="I630" s="17"/>
      <c r="J630" s="17" t="n">
        <v>5</v>
      </c>
      <c r="K630" s="17"/>
      <c r="L630" s="17"/>
      <c r="M630" s="17"/>
      <c r="N630" s="27" t="str">
        <f aca="false">IF(F630=_xlfn.MINIFS($F$2:$F$948,$A$2:$A$948,$A630,$B$2:$B$948,$B630),"BEST","")</f>
        <v/>
      </c>
    </row>
    <row r="631" customFormat="false" ht="15" hidden="false" customHeight="false" outlineLevel="0" collapsed="false">
      <c r="A631" s="16" t="s">
        <v>50</v>
      </c>
      <c r="B631" s="17" t="n">
        <v>12</v>
      </c>
      <c r="C631" s="17" t="s">
        <v>67</v>
      </c>
      <c r="D631" s="16" t="s">
        <v>68</v>
      </c>
      <c r="E631" s="17" t="n">
        <v>17</v>
      </c>
      <c r="F631" s="26" t="n">
        <v>0.00119847470030651</v>
      </c>
      <c r="G631" s="17" t="n">
        <v>192</v>
      </c>
      <c r="H631" s="17" t="n">
        <v>600</v>
      </c>
      <c r="I631" s="17"/>
      <c r="J631" s="17" t="n">
        <v>5</v>
      </c>
      <c r="K631" s="17"/>
      <c r="L631" s="17"/>
      <c r="M631" s="17"/>
      <c r="N631" s="27" t="str">
        <f aca="false">IF(F631=_xlfn.MINIFS($F$2:$F$948,$A$2:$A$948,$A631,$B$2:$B$948,$B631),"BEST","")</f>
        <v/>
      </c>
    </row>
    <row r="632" customFormat="false" ht="15" hidden="false" customHeight="false" outlineLevel="0" collapsed="false">
      <c r="A632" s="16" t="s">
        <v>50</v>
      </c>
      <c r="B632" s="17" t="n">
        <v>12</v>
      </c>
      <c r="C632" s="17" t="s">
        <v>67</v>
      </c>
      <c r="D632" s="16" t="s">
        <v>68</v>
      </c>
      <c r="E632" s="17" t="n">
        <v>18</v>
      </c>
      <c r="F632" s="26" t="n">
        <v>0.0010563556867679</v>
      </c>
      <c r="G632" s="17" t="n">
        <v>192</v>
      </c>
      <c r="H632" s="17" t="n">
        <v>600</v>
      </c>
      <c r="I632" s="17"/>
      <c r="J632" s="17" t="n">
        <v>5</v>
      </c>
      <c r="K632" s="17"/>
      <c r="L632" s="17"/>
      <c r="M632" s="17"/>
      <c r="N632" s="27" t="str">
        <f aca="false">IF(F632=_xlfn.MINIFS($F$2:$F$948,$A$2:$A$948,$A632,$B$2:$B$948,$B632),"BEST","")</f>
        <v/>
      </c>
    </row>
    <row r="633" customFormat="false" ht="15" hidden="false" customHeight="false" outlineLevel="0" collapsed="false">
      <c r="A633" s="16" t="s">
        <v>50</v>
      </c>
      <c r="B633" s="17" t="n">
        <v>12</v>
      </c>
      <c r="C633" s="17" t="s">
        <v>67</v>
      </c>
      <c r="D633" s="16" t="s">
        <v>68</v>
      </c>
      <c r="E633" s="17" t="n">
        <v>19</v>
      </c>
      <c r="F633" s="26" t="n">
        <v>0.00110782894206513</v>
      </c>
      <c r="G633" s="17" t="n">
        <v>192</v>
      </c>
      <c r="H633" s="17" t="n">
        <v>600</v>
      </c>
      <c r="I633" s="17"/>
      <c r="J633" s="17" t="n">
        <v>5</v>
      </c>
      <c r="K633" s="17"/>
      <c r="L633" s="17"/>
      <c r="M633" s="17"/>
      <c r="N633" s="27" t="str">
        <f aca="false">IF(F633=_xlfn.MINIFS($F$2:$F$948,$A$2:$A$948,$A633,$B$2:$B$948,$B633),"BEST","")</f>
        <v/>
      </c>
    </row>
    <row r="634" customFormat="false" ht="15" hidden="false" customHeight="false" outlineLevel="0" collapsed="false">
      <c r="A634" s="16" t="s">
        <v>50</v>
      </c>
      <c r="B634" s="17" t="n">
        <v>12</v>
      </c>
      <c r="C634" s="17" t="s">
        <v>69</v>
      </c>
      <c r="D634" s="16" t="s">
        <v>68</v>
      </c>
      <c r="E634" s="17" t="n">
        <v>0</v>
      </c>
      <c r="F634" s="26" t="n">
        <v>0.302469123495378</v>
      </c>
      <c r="G634" s="17" t="n">
        <v>192</v>
      </c>
      <c r="H634" s="17" t="n">
        <v>600</v>
      </c>
      <c r="I634" s="17"/>
      <c r="J634" s="17" t="n">
        <v>5</v>
      </c>
      <c r="K634" s="17"/>
      <c r="L634" s="17"/>
      <c r="M634" s="17"/>
      <c r="N634" s="27" t="str">
        <f aca="false">IF(F634=_xlfn.MINIFS($F$2:$F$948,$A$2:$A$948,$A634,$B$2:$B$948,$B634),"BEST","")</f>
        <v/>
      </c>
    </row>
    <row r="635" customFormat="false" ht="15" hidden="false" customHeight="false" outlineLevel="0" collapsed="false">
      <c r="A635" s="16" t="s">
        <v>50</v>
      </c>
      <c r="B635" s="17" t="n">
        <v>12</v>
      </c>
      <c r="C635" s="17" t="s">
        <v>69</v>
      </c>
      <c r="D635" s="16" t="s">
        <v>68</v>
      </c>
      <c r="E635" s="17" t="n">
        <v>1</v>
      </c>
      <c r="F635" s="26" t="n">
        <v>0.102865405213836</v>
      </c>
      <c r="G635" s="17" t="n">
        <v>192</v>
      </c>
      <c r="H635" s="17" t="n">
        <v>600</v>
      </c>
      <c r="I635" s="17"/>
      <c r="J635" s="17" t="n">
        <v>5</v>
      </c>
      <c r="K635" s="17"/>
      <c r="L635" s="17"/>
      <c r="M635" s="17"/>
      <c r="N635" s="27" t="str">
        <f aca="false">IF(F635=_xlfn.MINIFS($F$2:$F$948,$A$2:$A$948,$A635,$B$2:$B$948,$B635),"BEST","")</f>
        <v/>
      </c>
    </row>
    <row r="636" customFormat="false" ht="15" hidden="false" customHeight="false" outlineLevel="0" collapsed="false">
      <c r="A636" s="16" t="s">
        <v>50</v>
      </c>
      <c r="B636" s="17" t="n">
        <v>12</v>
      </c>
      <c r="C636" s="17" t="s">
        <v>69</v>
      </c>
      <c r="D636" s="16" t="s">
        <v>68</v>
      </c>
      <c r="E636" s="17" t="n">
        <v>2</v>
      </c>
      <c r="F636" s="26" t="n">
        <v>0.158197185212797</v>
      </c>
      <c r="G636" s="17" t="n">
        <v>192</v>
      </c>
      <c r="H636" s="17" t="n">
        <v>600</v>
      </c>
      <c r="I636" s="17"/>
      <c r="J636" s="17" t="n">
        <v>5</v>
      </c>
      <c r="K636" s="17"/>
      <c r="L636" s="17"/>
      <c r="M636" s="17"/>
      <c r="N636" s="27" t="str">
        <f aca="false">IF(F636=_xlfn.MINIFS($F$2:$F$948,$A$2:$A$948,$A636,$B$2:$B$948,$B636),"BEST","")</f>
        <v/>
      </c>
    </row>
    <row r="637" customFormat="false" ht="15" hidden="false" customHeight="false" outlineLevel="0" collapsed="false">
      <c r="A637" s="16" t="s">
        <v>50</v>
      </c>
      <c r="B637" s="17" t="n">
        <v>12</v>
      </c>
      <c r="C637" s="17" t="s">
        <v>69</v>
      </c>
      <c r="D637" s="16" t="s">
        <v>68</v>
      </c>
      <c r="E637" s="17" t="n">
        <v>3</v>
      </c>
      <c r="F637" s="26" t="n">
        <v>0.220512866459721</v>
      </c>
      <c r="G637" s="17" t="n">
        <v>192</v>
      </c>
      <c r="H637" s="17" t="n">
        <v>600</v>
      </c>
      <c r="I637" s="17"/>
      <c r="J637" s="17" t="n">
        <v>5</v>
      </c>
      <c r="K637" s="17"/>
      <c r="L637" s="17"/>
      <c r="M637" s="17"/>
      <c r="N637" s="27" t="str">
        <f aca="false">IF(F637=_xlfn.MINIFS($F$2:$F$948,$A$2:$A$948,$A637,$B$2:$B$948,$B637),"BEST","")</f>
        <v/>
      </c>
    </row>
    <row r="638" customFormat="false" ht="15" hidden="false" customHeight="false" outlineLevel="0" collapsed="false">
      <c r="A638" s="16" t="s">
        <v>50</v>
      </c>
      <c r="B638" s="17" t="n">
        <v>12</v>
      </c>
      <c r="C638" s="17" t="s">
        <v>69</v>
      </c>
      <c r="D638" s="16" t="s">
        <v>68</v>
      </c>
      <c r="E638" s="17" t="n">
        <v>4</v>
      </c>
      <c r="F638" s="26" t="n">
        <v>0.263740976254799</v>
      </c>
      <c r="G638" s="17" t="n">
        <v>192</v>
      </c>
      <c r="H638" s="17" t="n">
        <v>600</v>
      </c>
      <c r="I638" s="17"/>
      <c r="J638" s="17" t="n">
        <v>5</v>
      </c>
      <c r="K638" s="17"/>
      <c r="L638" s="17"/>
      <c r="M638" s="17"/>
      <c r="N638" s="27" t="str">
        <f aca="false">IF(F638=_xlfn.MINIFS($F$2:$F$948,$A$2:$A$948,$A638,$B$2:$B$948,$B638),"BEST","")</f>
        <v/>
      </c>
    </row>
    <row r="639" customFormat="false" ht="15" hidden="false" customHeight="false" outlineLevel="0" collapsed="false">
      <c r="A639" s="16" t="s">
        <v>50</v>
      </c>
      <c r="B639" s="17" t="n">
        <v>12</v>
      </c>
      <c r="C639" s="17" t="s">
        <v>69</v>
      </c>
      <c r="D639" s="16" t="s">
        <v>68</v>
      </c>
      <c r="E639" s="17" t="n">
        <v>5</v>
      </c>
      <c r="F639" s="26" t="n">
        <v>0.246500849122254</v>
      </c>
      <c r="G639" s="17" t="n">
        <v>192</v>
      </c>
      <c r="H639" s="17" t="n">
        <v>600</v>
      </c>
      <c r="I639" s="17"/>
      <c r="J639" s="17" t="n">
        <v>5</v>
      </c>
      <c r="K639" s="17"/>
      <c r="L639" s="17"/>
      <c r="M639" s="17"/>
      <c r="N639" s="27" t="str">
        <f aca="false">IF(F639=_xlfn.MINIFS($F$2:$F$948,$A$2:$A$948,$A639,$B$2:$B$948,$B639),"BEST","")</f>
        <v/>
      </c>
    </row>
    <row r="640" customFormat="false" ht="15" hidden="false" customHeight="false" outlineLevel="0" collapsed="false">
      <c r="A640" s="16" t="s">
        <v>50</v>
      </c>
      <c r="B640" s="17" t="n">
        <v>12</v>
      </c>
      <c r="C640" s="17" t="s">
        <v>69</v>
      </c>
      <c r="D640" s="16" t="s">
        <v>68</v>
      </c>
      <c r="E640" s="17" t="n">
        <v>6</v>
      </c>
      <c r="F640" s="26" t="n">
        <v>0.100286535572527</v>
      </c>
      <c r="G640" s="17" t="n">
        <v>192</v>
      </c>
      <c r="H640" s="17" t="n">
        <v>600</v>
      </c>
      <c r="I640" s="17"/>
      <c r="J640" s="17" t="n">
        <v>5</v>
      </c>
      <c r="K640" s="17"/>
      <c r="L640" s="17"/>
      <c r="M640" s="17"/>
      <c r="N640" s="27" t="str">
        <f aca="false">IF(F640=_xlfn.MINIFS($F$2:$F$948,$A$2:$A$948,$A640,$B$2:$B$948,$B640),"BEST","")</f>
        <v/>
      </c>
    </row>
    <row r="641" customFormat="false" ht="15" hidden="false" customHeight="false" outlineLevel="0" collapsed="false">
      <c r="A641" s="16" t="s">
        <v>50</v>
      </c>
      <c r="B641" s="17" t="n">
        <v>12</v>
      </c>
      <c r="C641" s="17" t="s">
        <v>69</v>
      </c>
      <c r="D641" s="16" t="s">
        <v>68</v>
      </c>
      <c r="E641" s="17" t="n">
        <v>7</v>
      </c>
      <c r="F641" s="26" t="n">
        <v>0.103446529037145</v>
      </c>
      <c r="G641" s="17" t="n">
        <v>192</v>
      </c>
      <c r="H641" s="17" t="n">
        <v>600</v>
      </c>
      <c r="I641" s="17"/>
      <c r="J641" s="17" t="n">
        <v>5</v>
      </c>
      <c r="K641" s="17"/>
      <c r="L641" s="17"/>
      <c r="M641" s="17"/>
      <c r="N641" s="27" t="str">
        <f aca="false">IF(F641=_xlfn.MINIFS($F$2:$F$948,$A$2:$A$948,$A641,$B$2:$B$948,$B641),"BEST","")</f>
        <v/>
      </c>
    </row>
    <row r="642" customFormat="false" ht="15" hidden="false" customHeight="false" outlineLevel="0" collapsed="false">
      <c r="A642" s="16" t="s">
        <v>50</v>
      </c>
      <c r="B642" s="17" t="n">
        <v>12</v>
      </c>
      <c r="C642" s="17" t="s">
        <v>69</v>
      </c>
      <c r="D642" s="16" t="s">
        <v>68</v>
      </c>
      <c r="E642" s="17" t="n">
        <v>8</v>
      </c>
      <c r="F642" s="26" t="n">
        <v>0.239783119460117</v>
      </c>
      <c r="G642" s="17" t="n">
        <v>192</v>
      </c>
      <c r="H642" s="17" t="n">
        <v>600</v>
      </c>
      <c r="I642" s="17"/>
      <c r="J642" s="17" t="n">
        <v>5</v>
      </c>
      <c r="K642" s="17"/>
      <c r="L642" s="17"/>
      <c r="M642" s="17"/>
      <c r="N642" s="27" t="str">
        <f aca="false">IF(F642=_xlfn.MINIFS($F$2:$F$948,$A$2:$A$948,$A642,$B$2:$B$948,$B642),"BEST","")</f>
        <v/>
      </c>
    </row>
    <row r="643" customFormat="false" ht="15" hidden="false" customHeight="false" outlineLevel="0" collapsed="false">
      <c r="A643" s="16" t="s">
        <v>50</v>
      </c>
      <c r="B643" s="17" t="n">
        <v>12</v>
      </c>
      <c r="C643" s="17" t="s">
        <v>69</v>
      </c>
      <c r="D643" s="16" t="s">
        <v>68</v>
      </c>
      <c r="E643" s="17" t="n">
        <v>9</v>
      </c>
      <c r="F643" s="26" t="n">
        <v>0.140591736891259</v>
      </c>
      <c r="G643" s="17" t="n">
        <v>192</v>
      </c>
      <c r="H643" s="17" t="n">
        <v>600</v>
      </c>
      <c r="I643" s="17"/>
      <c r="J643" s="17" t="n">
        <v>5</v>
      </c>
      <c r="K643" s="17"/>
      <c r="L643" s="17"/>
      <c r="M643" s="17"/>
      <c r="N643" s="27" t="str">
        <f aca="false">IF(F643=_xlfn.MINIFS($F$2:$F$948,$A$2:$A$948,$A643,$B$2:$B$948,$B643),"BEST","")</f>
        <v/>
      </c>
    </row>
    <row r="644" customFormat="false" ht="15" hidden="false" customHeight="false" outlineLevel="0" collapsed="false">
      <c r="A644" s="16" t="s">
        <v>50</v>
      </c>
      <c r="B644" s="17" t="n">
        <v>12</v>
      </c>
      <c r="C644" s="17" t="s">
        <v>69</v>
      </c>
      <c r="D644" s="16" t="s">
        <v>68</v>
      </c>
      <c r="E644" s="17" t="n">
        <v>10</v>
      </c>
      <c r="F644" s="26" t="n">
        <v>0.329423717691454</v>
      </c>
      <c r="G644" s="17" t="n">
        <v>192</v>
      </c>
      <c r="H644" s="17" t="n">
        <v>600</v>
      </c>
      <c r="I644" s="17"/>
      <c r="J644" s="17" t="n">
        <v>5</v>
      </c>
      <c r="K644" s="17"/>
      <c r="L644" s="17"/>
      <c r="M644" s="17"/>
      <c r="N644" s="27" t="str">
        <f aca="false">IF(F644=_xlfn.MINIFS($F$2:$F$948,$A$2:$A$948,$A644,$B$2:$B$948,$B644),"BEST","")</f>
        <v/>
      </c>
    </row>
    <row r="645" customFormat="false" ht="15" hidden="false" customHeight="false" outlineLevel="0" collapsed="false">
      <c r="A645" s="16" t="s">
        <v>50</v>
      </c>
      <c r="B645" s="17" t="n">
        <v>12</v>
      </c>
      <c r="C645" s="17" t="s">
        <v>69</v>
      </c>
      <c r="D645" s="16" t="s">
        <v>68</v>
      </c>
      <c r="E645" s="17" t="n">
        <v>11</v>
      </c>
      <c r="F645" s="26" t="n">
        <v>0.211649335995606</v>
      </c>
      <c r="G645" s="17" t="n">
        <v>192</v>
      </c>
      <c r="H645" s="17" t="n">
        <v>600</v>
      </c>
      <c r="I645" s="17"/>
      <c r="J645" s="17" t="n">
        <v>5</v>
      </c>
      <c r="K645" s="17"/>
      <c r="L645" s="17"/>
      <c r="M645" s="17"/>
      <c r="N645" s="27" t="str">
        <f aca="false">IF(F645=_xlfn.MINIFS($F$2:$F$948,$A$2:$A$948,$A645,$B$2:$B$948,$B645),"BEST","")</f>
        <v/>
      </c>
    </row>
    <row r="646" customFormat="false" ht="15" hidden="false" customHeight="false" outlineLevel="0" collapsed="false">
      <c r="A646" s="16" t="s">
        <v>50</v>
      </c>
      <c r="B646" s="17" t="n">
        <v>12</v>
      </c>
      <c r="C646" s="17" t="s">
        <v>69</v>
      </c>
      <c r="D646" s="16" t="s">
        <v>68</v>
      </c>
      <c r="E646" s="17" t="n">
        <v>12</v>
      </c>
      <c r="F646" s="26" t="n">
        <v>0.175178045284417</v>
      </c>
      <c r="G646" s="17" t="n">
        <v>192</v>
      </c>
      <c r="H646" s="17" t="n">
        <v>600</v>
      </c>
      <c r="I646" s="17"/>
      <c r="J646" s="17" t="n">
        <v>5</v>
      </c>
      <c r="K646" s="17"/>
      <c r="L646" s="17"/>
      <c r="M646" s="17"/>
      <c r="N646" s="27" t="str">
        <f aca="false">IF(F646=_xlfn.MINIFS($F$2:$F$948,$A$2:$A$948,$A646,$B$2:$B$948,$B646),"BEST","")</f>
        <v/>
      </c>
    </row>
    <row r="647" customFormat="false" ht="15" hidden="false" customHeight="false" outlineLevel="0" collapsed="false">
      <c r="A647" s="16" t="s">
        <v>50</v>
      </c>
      <c r="B647" s="17" t="n">
        <v>12</v>
      </c>
      <c r="C647" s="17" t="s">
        <v>69</v>
      </c>
      <c r="D647" s="16" t="s">
        <v>68</v>
      </c>
      <c r="E647" s="17" t="n">
        <v>13</v>
      </c>
      <c r="F647" s="26" t="n">
        <v>0.212776453190516</v>
      </c>
      <c r="G647" s="17" t="n">
        <v>192</v>
      </c>
      <c r="H647" s="17" t="n">
        <v>600</v>
      </c>
      <c r="I647" s="17"/>
      <c r="J647" s="17" t="n">
        <v>5</v>
      </c>
      <c r="K647" s="17"/>
      <c r="L647" s="17"/>
      <c r="M647" s="17"/>
      <c r="N647" s="27" t="str">
        <f aca="false">IF(F647=_xlfn.MINIFS($F$2:$F$948,$A$2:$A$948,$A647,$B$2:$B$948,$B647),"BEST","")</f>
        <v/>
      </c>
    </row>
    <row r="648" customFormat="false" ht="15" hidden="false" customHeight="false" outlineLevel="0" collapsed="false">
      <c r="A648" s="16" t="s">
        <v>50</v>
      </c>
      <c r="B648" s="17" t="n">
        <v>12</v>
      </c>
      <c r="C648" s="17" t="s">
        <v>69</v>
      </c>
      <c r="D648" s="16" t="s">
        <v>68</v>
      </c>
      <c r="E648" s="17" t="n">
        <v>14</v>
      </c>
      <c r="F648" s="26" t="n">
        <v>0.171169677267617</v>
      </c>
      <c r="G648" s="17" t="n">
        <v>192</v>
      </c>
      <c r="H648" s="17" t="n">
        <v>600</v>
      </c>
      <c r="I648" s="17"/>
      <c r="J648" s="17" t="n">
        <v>5</v>
      </c>
      <c r="K648" s="17"/>
      <c r="L648" s="17"/>
      <c r="M648" s="17"/>
      <c r="N648" s="27" t="str">
        <f aca="false">IF(F648=_xlfn.MINIFS($F$2:$F$948,$A$2:$A$948,$A648,$B$2:$B$948,$B648),"BEST","")</f>
        <v/>
      </c>
    </row>
    <row r="649" customFormat="false" ht="15" hidden="false" customHeight="false" outlineLevel="0" collapsed="false">
      <c r="A649" s="16" t="s">
        <v>50</v>
      </c>
      <c r="B649" s="17" t="n">
        <v>12</v>
      </c>
      <c r="C649" s="17" t="s">
        <v>69</v>
      </c>
      <c r="D649" s="16" t="s">
        <v>68</v>
      </c>
      <c r="E649" s="17" t="n">
        <v>15</v>
      </c>
      <c r="F649" s="26" t="n">
        <v>0.16101647315172</v>
      </c>
      <c r="G649" s="17" t="n">
        <v>192</v>
      </c>
      <c r="H649" s="17" t="n">
        <v>600</v>
      </c>
      <c r="I649" s="17"/>
      <c r="J649" s="17" t="n">
        <v>5</v>
      </c>
      <c r="K649" s="17"/>
      <c r="L649" s="17"/>
      <c r="M649" s="17"/>
      <c r="N649" s="27" t="str">
        <f aca="false">IF(F649=_xlfn.MINIFS($F$2:$F$948,$A$2:$A$948,$A649,$B$2:$B$948,$B649),"BEST","")</f>
        <v/>
      </c>
    </row>
    <row r="650" customFormat="false" ht="15" hidden="false" customHeight="false" outlineLevel="0" collapsed="false">
      <c r="A650" s="16" t="s">
        <v>50</v>
      </c>
      <c r="B650" s="17" t="n">
        <v>12</v>
      </c>
      <c r="C650" s="17" t="s">
        <v>69</v>
      </c>
      <c r="D650" s="16" t="s">
        <v>68</v>
      </c>
      <c r="E650" s="17" t="n">
        <v>16</v>
      </c>
      <c r="F650" s="26" t="n">
        <v>0.174822830553739</v>
      </c>
      <c r="G650" s="17" t="n">
        <v>192</v>
      </c>
      <c r="H650" s="17" t="n">
        <v>600</v>
      </c>
      <c r="I650" s="17"/>
      <c r="J650" s="17" t="n">
        <v>5</v>
      </c>
      <c r="K650" s="17"/>
      <c r="L650" s="17"/>
      <c r="M650" s="17"/>
      <c r="N650" s="27" t="str">
        <f aca="false">IF(F650=_xlfn.MINIFS($F$2:$F$948,$A$2:$A$948,$A650,$B$2:$B$948,$B650),"BEST","")</f>
        <v/>
      </c>
    </row>
    <row r="651" customFormat="false" ht="15" hidden="false" customHeight="false" outlineLevel="0" collapsed="false">
      <c r="A651" s="16" t="s">
        <v>50</v>
      </c>
      <c r="B651" s="17" t="n">
        <v>12</v>
      </c>
      <c r="C651" s="17" t="s">
        <v>69</v>
      </c>
      <c r="D651" s="16" t="s">
        <v>68</v>
      </c>
      <c r="E651" s="17" t="n">
        <v>17</v>
      </c>
      <c r="F651" s="26" t="n">
        <v>0.159243214469575</v>
      </c>
      <c r="G651" s="17" t="n">
        <v>192</v>
      </c>
      <c r="H651" s="17" t="n">
        <v>600</v>
      </c>
      <c r="I651" s="17"/>
      <c r="J651" s="17" t="n">
        <v>5</v>
      </c>
      <c r="K651" s="17"/>
      <c r="L651" s="17"/>
      <c r="M651" s="17"/>
      <c r="N651" s="27" t="str">
        <f aca="false">IF(F651=_xlfn.MINIFS($F$2:$F$948,$A$2:$A$948,$A651,$B$2:$B$948,$B651),"BEST","")</f>
        <v/>
      </c>
    </row>
    <row r="652" customFormat="false" ht="15" hidden="false" customHeight="false" outlineLevel="0" collapsed="false">
      <c r="A652" s="16" t="s">
        <v>50</v>
      </c>
      <c r="B652" s="17" t="n">
        <v>12</v>
      </c>
      <c r="C652" s="17" t="s">
        <v>69</v>
      </c>
      <c r="D652" s="16" t="s">
        <v>68</v>
      </c>
      <c r="E652" s="17" t="n">
        <v>18</v>
      </c>
      <c r="F652" s="26" t="n">
        <v>0.164545973917597</v>
      </c>
      <c r="G652" s="17" t="n">
        <v>192</v>
      </c>
      <c r="H652" s="17" t="n">
        <v>600</v>
      </c>
      <c r="I652" s="17"/>
      <c r="J652" s="17" t="n">
        <v>5</v>
      </c>
      <c r="K652" s="17"/>
      <c r="L652" s="17"/>
      <c r="M652" s="17"/>
      <c r="N652" s="27" t="str">
        <f aca="false">IF(F652=_xlfn.MINIFS($F$2:$F$948,$A$2:$A$948,$A652,$B$2:$B$948,$B652),"BEST","")</f>
        <v/>
      </c>
    </row>
    <row r="653" customFormat="false" ht="15" hidden="false" customHeight="false" outlineLevel="0" collapsed="false">
      <c r="A653" s="16" t="s">
        <v>50</v>
      </c>
      <c r="B653" s="17" t="n">
        <v>12</v>
      </c>
      <c r="C653" s="17" t="s">
        <v>69</v>
      </c>
      <c r="D653" s="16" t="s">
        <v>68</v>
      </c>
      <c r="E653" s="17" t="n">
        <v>19</v>
      </c>
      <c r="F653" s="26" t="n">
        <v>0.196067495081466</v>
      </c>
      <c r="G653" s="17" t="n">
        <v>192</v>
      </c>
      <c r="H653" s="17" t="n">
        <v>600</v>
      </c>
      <c r="I653" s="17"/>
      <c r="J653" s="17" t="n">
        <v>5</v>
      </c>
      <c r="K653" s="17"/>
      <c r="L653" s="17"/>
      <c r="M653" s="17"/>
      <c r="N653" s="27" t="str">
        <f aca="false">IF(F653=_xlfn.MINIFS($F$2:$F$948,$A$2:$A$948,$A653,$B$2:$B$948,$B653),"BEST","")</f>
        <v/>
      </c>
    </row>
    <row r="654" customFormat="false" ht="15" hidden="false" customHeight="false" outlineLevel="0" collapsed="false">
      <c r="A654" s="16" t="s">
        <v>50</v>
      </c>
      <c r="B654" s="17" t="n">
        <v>12</v>
      </c>
      <c r="C654" s="17" t="s">
        <v>70</v>
      </c>
      <c r="D654" s="16" t="s">
        <v>68</v>
      </c>
      <c r="E654" s="17" t="n">
        <v>0</v>
      </c>
      <c r="F654" s="26" t="n">
        <v>0.00200572884715642</v>
      </c>
      <c r="G654" s="17" t="n">
        <v>56</v>
      </c>
      <c r="H654" s="17" t="n">
        <v>600</v>
      </c>
      <c r="I654" s="17"/>
      <c r="J654" s="17" t="n">
        <v>5</v>
      </c>
      <c r="K654" s="17"/>
      <c r="L654" s="17"/>
      <c r="M654" s="17" t="n">
        <v>3</v>
      </c>
      <c r="N654" s="27" t="str">
        <f aca="false">IF(F654=_xlfn.MINIFS($F$2:$F$948,$A$2:$A$948,$A654,$B$2:$B$948,$B654),"BEST","")</f>
        <v/>
      </c>
    </row>
    <row r="655" customFormat="false" ht="15" hidden="false" customHeight="false" outlineLevel="0" collapsed="false">
      <c r="A655" s="16" t="s">
        <v>50</v>
      </c>
      <c r="B655" s="17" t="n">
        <v>12</v>
      </c>
      <c r="C655" s="17" t="s">
        <v>70</v>
      </c>
      <c r="D655" s="16" t="s">
        <v>68</v>
      </c>
      <c r="E655" s="17" t="n">
        <v>1</v>
      </c>
      <c r="F655" s="26" t="n">
        <v>0.00200572884715642</v>
      </c>
      <c r="G655" s="17" t="n">
        <v>56</v>
      </c>
      <c r="H655" s="17" t="n">
        <v>600</v>
      </c>
      <c r="I655" s="17"/>
      <c r="J655" s="17" t="n">
        <v>5</v>
      </c>
      <c r="K655" s="17"/>
      <c r="L655" s="17"/>
      <c r="M655" s="17" t="n">
        <v>3</v>
      </c>
      <c r="N655" s="27" t="str">
        <f aca="false">IF(F655=_xlfn.MINIFS($F$2:$F$948,$A$2:$A$948,$A655,$B$2:$B$948,$B655),"BEST","")</f>
        <v/>
      </c>
    </row>
    <row r="656" customFormat="false" ht="15" hidden="false" customHeight="false" outlineLevel="0" collapsed="false">
      <c r="A656" s="16" t="s">
        <v>50</v>
      </c>
      <c r="B656" s="17" t="n">
        <v>12</v>
      </c>
      <c r="C656" s="17" t="s">
        <v>70</v>
      </c>
      <c r="D656" s="16" t="s">
        <v>68</v>
      </c>
      <c r="E656" s="17" t="n">
        <v>2</v>
      </c>
      <c r="F656" s="26" t="n">
        <v>0.00200572884715642</v>
      </c>
      <c r="G656" s="17" t="n">
        <v>56</v>
      </c>
      <c r="H656" s="17" t="n">
        <v>600</v>
      </c>
      <c r="I656" s="17"/>
      <c r="J656" s="17" t="n">
        <v>5</v>
      </c>
      <c r="K656" s="17"/>
      <c r="L656" s="17"/>
      <c r="M656" s="17" t="n">
        <v>3</v>
      </c>
      <c r="N656" s="27" t="str">
        <f aca="false">IF(F656=_xlfn.MINIFS($F$2:$F$948,$A$2:$A$948,$A656,$B$2:$B$948,$B656),"BEST","")</f>
        <v/>
      </c>
    </row>
    <row r="657" customFormat="false" ht="15" hidden="false" customHeight="false" outlineLevel="0" collapsed="false">
      <c r="A657" s="16" t="s">
        <v>50</v>
      </c>
      <c r="B657" s="17" t="n">
        <v>12</v>
      </c>
      <c r="C657" s="17" t="s">
        <v>70</v>
      </c>
      <c r="D657" s="16" t="s">
        <v>68</v>
      </c>
      <c r="E657" s="17" t="n">
        <v>3</v>
      </c>
      <c r="F657" s="26" t="n">
        <v>0.00200572884715642</v>
      </c>
      <c r="G657" s="17" t="n">
        <v>56</v>
      </c>
      <c r="H657" s="17" t="n">
        <v>600</v>
      </c>
      <c r="I657" s="17"/>
      <c r="J657" s="17" t="n">
        <v>5</v>
      </c>
      <c r="K657" s="17"/>
      <c r="L657" s="17"/>
      <c r="M657" s="17" t="n">
        <v>3</v>
      </c>
      <c r="N657" s="27" t="str">
        <f aca="false">IF(F657=_xlfn.MINIFS($F$2:$F$948,$A$2:$A$948,$A657,$B$2:$B$948,$B657),"BEST","")</f>
        <v/>
      </c>
    </row>
    <row r="658" customFormat="false" ht="15" hidden="false" customHeight="false" outlineLevel="0" collapsed="false">
      <c r="A658" s="16" t="s">
        <v>50</v>
      </c>
      <c r="B658" s="17" t="n">
        <v>12</v>
      </c>
      <c r="C658" s="17" t="s">
        <v>70</v>
      </c>
      <c r="D658" s="16" t="s">
        <v>68</v>
      </c>
      <c r="E658" s="17" t="n">
        <v>4</v>
      </c>
      <c r="F658" s="26" t="n">
        <v>0.00200572884715642</v>
      </c>
      <c r="G658" s="17" t="n">
        <v>56</v>
      </c>
      <c r="H658" s="17" t="n">
        <v>600</v>
      </c>
      <c r="I658" s="17"/>
      <c r="J658" s="17" t="n">
        <v>5</v>
      </c>
      <c r="K658" s="17"/>
      <c r="L658" s="17"/>
      <c r="M658" s="17" t="n">
        <v>3</v>
      </c>
      <c r="N658" s="27" t="str">
        <f aca="false">IF(F658=_xlfn.MINIFS($F$2:$F$948,$A$2:$A$948,$A658,$B$2:$B$948,$B658),"BEST","")</f>
        <v/>
      </c>
    </row>
    <row r="659" customFormat="false" ht="15" hidden="false" customHeight="false" outlineLevel="0" collapsed="false">
      <c r="A659" s="16" t="s">
        <v>50</v>
      </c>
      <c r="B659" s="17" t="n">
        <v>12</v>
      </c>
      <c r="C659" s="17" t="s">
        <v>70</v>
      </c>
      <c r="D659" s="16" t="s">
        <v>68</v>
      </c>
      <c r="E659" s="17" t="n">
        <v>5</v>
      </c>
      <c r="F659" s="26" t="n">
        <v>0.00200572884715642</v>
      </c>
      <c r="G659" s="17" t="n">
        <v>56</v>
      </c>
      <c r="H659" s="17" t="n">
        <v>600</v>
      </c>
      <c r="I659" s="17"/>
      <c r="J659" s="17" t="n">
        <v>5</v>
      </c>
      <c r="K659" s="17"/>
      <c r="L659" s="17"/>
      <c r="M659" s="17" t="n">
        <v>3</v>
      </c>
      <c r="N659" s="27" t="str">
        <f aca="false">IF(F659=_xlfn.MINIFS($F$2:$F$948,$A$2:$A$948,$A659,$B$2:$B$948,$B659),"BEST","")</f>
        <v/>
      </c>
    </row>
    <row r="660" customFormat="false" ht="15" hidden="false" customHeight="false" outlineLevel="0" collapsed="false">
      <c r="A660" s="16" t="s">
        <v>50</v>
      </c>
      <c r="B660" s="17" t="n">
        <v>12</v>
      </c>
      <c r="C660" s="17" t="s">
        <v>70</v>
      </c>
      <c r="D660" s="16" t="s">
        <v>68</v>
      </c>
      <c r="E660" s="17" t="n">
        <v>6</v>
      </c>
      <c r="F660" s="26" t="n">
        <v>0.00200572884715642</v>
      </c>
      <c r="G660" s="17" t="n">
        <v>56</v>
      </c>
      <c r="H660" s="17" t="n">
        <v>600</v>
      </c>
      <c r="I660" s="17"/>
      <c r="J660" s="17" t="n">
        <v>5</v>
      </c>
      <c r="K660" s="17"/>
      <c r="L660" s="17"/>
      <c r="M660" s="17" t="n">
        <v>3</v>
      </c>
      <c r="N660" s="27" t="str">
        <f aca="false">IF(F660=_xlfn.MINIFS($F$2:$F$948,$A$2:$A$948,$A660,$B$2:$B$948,$B660),"BEST","")</f>
        <v/>
      </c>
    </row>
    <row r="661" customFormat="false" ht="15" hidden="false" customHeight="false" outlineLevel="0" collapsed="false">
      <c r="A661" s="16" t="s">
        <v>50</v>
      </c>
      <c r="B661" s="17" t="n">
        <v>12</v>
      </c>
      <c r="C661" s="17" t="s">
        <v>70</v>
      </c>
      <c r="D661" s="16" t="s">
        <v>68</v>
      </c>
      <c r="E661" s="17" t="n">
        <v>7</v>
      </c>
      <c r="F661" s="26" t="n">
        <v>0.00200572884715642</v>
      </c>
      <c r="G661" s="17" t="n">
        <v>56</v>
      </c>
      <c r="H661" s="17" t="n">
        <v>600</v>
      </c>
      <c r="I661" s="17"/>
      <c r="J661" s="17" t="n">
        <v>5</v>
      </c>
      <c r="K661" s="17"/>
      <c r="L661" s="17"/>
      <c r="M661" s="17" t="n">
        <v>3</v>
      </c>
      <c r="N661" s="27" t="str">
        <f aca="false">IF(F661=_xlfn.MINIFS($F$2:$F$948,$A$2:$A$948,$A661,$B$2:$B$948,$B661),"BEST","")</f>
        <v/>
      </c>
    </row>
    <row r="662" customFormat="false" ht="15" hidden="false" customHeight="false" outlineLevel="0" collapsed="false">
      <c r="A662" s="16" t="s">
        <v>50</v>
      </c>
      <c r="B662" s="17" t="n">
        <v>12</v>
      </c>
      <c r="C662" s="17" t="s">
        <v>70</v>
      </c>
      <c r="D662" s="16" t="s">
        <v>68</v>
      </c>
      <c r="E662" s="17" t="n">
        <v>8</v>
      </c>
      <c r="F662" s="26" t="n">
        <v>0.00200572884715642</v>
      </c>
      <c r="G662" s="17" t="n">
        <v>56</v>
      </c>
      <c r="H662" s="17" t="n">
        <v>600</v>
      </c>
      <c r="I662" s="17"/>
      <c r="J662" s="17" t="n">
        <v>5</v>
      </c>
      <c r="K662" s="17"/>
      <c r="L662" s="17"/>
      <c r="M662" s="17" t="n">
        <v>3</v>
      </c>
      <c r="N662" s="27" t="str">
        <f aca="false">IF(F662=_xlfn.MINIFS($F$2:$F$948,$A$2:$A$948,$A662,$B$2:$B$948,$B662),"BEST","")</f>
        <v/>
      </c>
    </row>
    <row r="663" customFormat="false" ht="15" hidden="false" customHeight="false" outlineLevel="0" collapsed="false">
      <c r="A663" s="16" t="s">
        <v>50</v>
      </c>
      <c r="B663" s="17" t="n">
        <v>12</v>
      </c>
      <c r="C663" s="17" t="s">
        <v>70</v>
      </c>
      <c r="D663" s="16" t="s">
        <v>68</v>
      </c>
      <c r="E663" s="17" t="n">
        <v>9</v>
      </c>
      <c r="F663" s="26" t="n">
        <v>0.00200572884715642</v>
      </c>
      <c r="G663" s="17" t="n">
        <v>56</v>
      </c>
      <c r="H663" s="17" t="n">
        <v>600</v>
      </c>
      <c r="I663" s="17"/>
      <c r="J663" s="17" t="n">
        <v>5</v>
      </c>
      <c r="K663" s="17"/>
      <c r="L663" s="17"/>
      <c r="M663" s="17" t="n">
        <v>3</v>
      </c>
      <c r="N663" s="27" t="str">
        <f aca="false">IF(F663=_xlfn.MINIFS($F$2:$F$948,$A$2:$A$948,$A663,$B$2:$B$948,$B663),"BEST","")</f>
        <v/>
      </c>
    </row>
    <row r="664" customFormat="false" ht="15" hidden="false" customHeight="false" outlineLevel="0" collapsed="false">
      <c r="A664" s="16" t="s">
        <v>50</v>
      </c>
      <c r="B664" s="17" t="n">
        <v>12</v>
      </c>
      <c r="C664" s="17" t="s">
        <v>70</v>
      </c>
      <c r="D664" s="16" t="s">
        <v>68</v>
      </c>
      <c r="E664" s="17" t="n">
        <v>10</v>
      </c>
      <c r="F664" s="26" t="n">
        <v>0.00200572884715642</v>
      </c>
      <c r="G664" s="17" t="n">
        <v>56</v>
      </c>
      <c r="H664" s="17" t="n">
        <v>600</v>
      </c>
      <c r="I664" s="17"/>
      <c r="J664" s="17" t="n">
        <v>5</v>
      </c>
      <c r="K664" s="17"/>
      <c r="L664" s="17"/>
      <c r="M664" s="17" t="n">
        <v>3</v>
      </c>
      <c r="N664" s="27" t="str">
        <f aca="false">IF(F664=_xlfn.MINIFS($F$2:$F$948,$A$2:$A$948,$A664,$B$2:$B$948,$B664),"BEST","")</f>
        <v/>
      </c>
    </row>
    <row r="665" customFormat="false" ht="15" hidden="false" customHeight="false" outlineLevel="0" collapsed="false">
      <c r="A665" s="16" t="s">
        <v>50</v>
      </c>
      <c r="B665" s="17" t="n">
        <v>12</v>
      </c>
      <c r="C665" s="17" t="s">
        <v>70</v>
      </c>
      <c r="D665" s="16" t="s">
        <v>68</v>
      </c>
      <c r="E665" s="17" t="n">
        <v>11</v>
      </c>
      <c r="F665" s="26" t="n">
        <v>0.00200572884715642</v>
      </c>
      <c r="G665" s="17" t="n">
        <v>56</v>
      </c>
      <c r="H665" s="17" t="n">
        <v>600</v>
      </c>
      <c r="I665" s="17"/>
      <c r="J665" s="17" t="n">
        <v>5</v>
      </c>
      <c r="K665" s="17"/>
      <c r="L665" s="17"/>
      <c r="M665" s="17" t="n">
        <v>3</v>
      </c>
      <c r="N665" s="27" t="str">
        <f aca="false">IF(F665=_xlfn.MINIFS($F$2:$F$948,$A$2:$A$948,$A665,$B$2:$B$948,$B665),"BEST","")</f>
        <v/>
      </c>
    </row>
    <row r="666" customFormat="false" ht="15" hidden="false" customHeight="false" outlineLevel="0" collapsed="false">
      <c r="A666" s="16" t="s">
        <v>50</v>
      </c>
      <c r="B666" s="17" t="n">
        <v>12</v>
      </c>
      <c r="C666" s="17" t="s">
        <v>70</v>
      </c>
      <c r="D666" s="16" t="s">
        <v>68</v>
      </c>
      <c r="E666" s="17" t="n">
        <v>12</v>
      </c>
      <c r="F666" s="26" t="n">
        <v>0.00200572884715642</v>
      </c>
      <c r="G666" s="17" t="n">
        <v>56</v>
      </c>
      <c r="H666" s="17" t="n">
        <v>600</v>
      </c>
      <c r="I666" s="17"/>
      <c r="J666" s="17" t="n">
        <v>5</v>
      </c>
      <c r="K666" s="17"/>
      <c r="L666" s="17"/>
      <c r="M666" s="17" t="n">
        <v>3</v>
      </c>
      <c r="N666" s="27" t="str">
        <f aca="false">IF(F666=_xlfn.MINIFS($F$2:$F$948,$A$2:$A$948,$A666,$B$2:$B$948,$B666),"BEST","")</f>
        <v/>
      </c>
    </row>
    <row r="667" customFormat="false" ht="15" hidden="false" customHeight="false" outlineLevel="0" collapsed="false">
      <c r="A667" s="16" t="s">
        <v>50</v>
      </c>
      <c r="B667" s="17" t="n">
        <v>12</v>
      </c>
      <c r="C667" s="17" t="s">
        <v>70</v>
      </c>
      <c r="D667" s="16" t="s">
        <v>68</v>
      </c>
      <c r="E667" s="17" t="n">
        <v>13</v>
      </c>
      <c r="F667" s="26" t="n">
        <v>0.00200572884715642</v>
      </c>
      <c r="G667" s="17" t="n">
        <v>56</v>
      </c>
      <c r="H667" s="17" t="n">
        <v>600</v>
      </c>
      <c r="I667" s="17"/>
      <c r="J667" s="17" t="n">
        <v>5</v>
      </c>
      <c r="K667" s="17"/>
      <c r="L667" s="17"/>
      <c r="M667" s="17" t="n">
        <v>3</v>
      </c>
      <c r="N667" s="27" t="str">
        <f aca="false">IF(F667=_xlfn.MINIFS($F$2:$F$948,$A$2:$A$948,$A667,$B$2:$B$948,$B667),"BEST","")</f>
        <v/>
      </c>
    </row>
    <row r="668" customFormat="false" ht="15" hidden="false" customHeight="false" outlineLevel="0" collapsed="false">
      <c r="A668" s="16" t="s">
        <v>50</v>
      </c>
      <c r="B668" s="17" t="n">
        <v>12</v>
      </c>
      <c r="C668" s="17" t="s">
        <v>70</v>
      </c>
      <c r="D668" s="16" t="s">
        <v>68</v>
      </c>
      <c r="E668" s="17" t="n">
        <v>14</v>
      </c>
      <c r="F668" s="26" t="n">
        <v>0.00200572884715642</v>
      </c>
      <c r="G668" s="17" t="n">
        <v>56</v>
      </c>
      <c r="H668" s="17" t="n">
        <v>600</v>
      </c>
      <c r="I668" s="17"/>
      <c r="J668" s="17" t="n">
        <v>5</v>
      </c>
      <c r="K668" s="17"/>
      <c r="L668" s="17"/>
      <c r="M668" s="17" t="n">
        <v>3</v>
      </c>
      <c r="N668" s="27" t="str">
        <f aca="false">IF(F668=_xlfn.MINIFS($F$2:$F$948,$A$2:$A$948,$A668,$B$2:$B$948,$B668),"BEST","")</f>
        <v/>
      </c>
    </row>
    <row r="669" customFormat="false" ht="15" hidden="false" customHeight="false" outlineLevel="0" collapsed="false">
      <c r="A669" s="16" t="s">
        <v>50</v>
      </c>
      <c r="B669" s="17" t="n">
        <v>12</v>
      </c>
      <c r="C669" s="17" t="s">
        <v>70</v>
      </c>
      <c r="D669" s="16" t="s">
        <v>68</v>
      </c>
      <c r="E669" s="17" t="n">
        <v>15</v>
      </c>
      <c r="F669" s="26" t="n">
        <v>0.00200572884715642</v>
      </c>
      <c r="G669" s="17" t="n">
        <v>56</v>
      </c>
      <c r="H669" s="17" t="n">
        <v>600</v>
      </c>
      <c r="I669" s="17"/>
      <c r="J669" s="17" t="n">
        <v>5</v>
      </c>
      <c r="K669" s="17"/>
      <c r="L669" s="17"/>
      <c r="M669" s="17" t="n">
        <v>3</v>
      </c>
      <c r="N669" s="27" t="str">
        <f aca="false">IF(F669=_xlfn.MINIFS($F$2:$F$948,$A$2:$A$948,$A669,$B$2:$B$948,$B669),"BEST","")</f>
        <v/>
      </c>
    </row>
    <row r="670" customFormat="false" ht="15" hidden="false" customHeight="false" outlineLevel="0" collapsed="false">
      <c r="A670" s="16" t="s">
        <v>50</v>
      </c>
      <c r="B670" s="17" t="n">
        <v>12</v>
      </c>
      <c r="C670" s="17" t="s">
        <v>70</v>
      </c>
      <c r="D670" s="16" t="s">
        <v>68</v>
      </c>
      <c r="E670" s="17" t="n">
        <v>16</v>
      </c>
      <c r="F670" s="26" t="n">
        <v>0.00200572884715642</v>
      </c>
      <c r="G670" s="17" t="n">
        <v>56</v>
      </c>
      <c r="H670" s="17" t="n">
        <v>600</v>
      </c>
      <c r="I670" s="17"/>
      <c r="J670" s="17" t="n">
        <v>5</v>
      </c>
      <c r="K670" s="17"/>
      <c r="L670" s="17"/>
      <c r="M670" s="17" t="n">
        <v>3</v>
      </c>
      <c r="N670" s="27" t="str">
        <f aca="false">IF(F670=_xlfn.MINIFS($F$2:$F$948,$A$2:$A$948,$A670,$B$2:$B$948,$B670),"BEST","")</f>
        <v/>
      </c>
    </row>
    <row r="671" customFormat="false" ht="15" hidden="false" customHeight="false" outlineLevel="0" collapsed="false">
      <c r="A671" s="16" t="s">
        <v>50</v>
      </c>
      <c r="B671" s="17" t="n">
        <v>12</v>
      </c>
      <c r="C671" s="17" t="s">
        <v>70</v>
      </c>
      <c r="D671" s="16" t="s">
        <v>68</v>
      </c>
      <c r="E671" s="17" t="n">
        <v>17</v>
      </c>
      <c r="F671" s="26" t="n">
        <v>0.00200572884715642</v>
      </c>
      <c r="G671" s="17" t="n">
        <v>56</v>
      </c>
      <c r="H671" s="17" t="n">
        <v>600</v>
      </c>
      <c r="I671" s="17"/>
      <c r="J671" s="17" t="n">
        <v>5</v>
      </c>
      <c r="K671" s="17"/>
      <c r="L671" s="17"/>
      <c r="M671" s="17" t="n">
        <v>3</v>
      </c>
      <c r="N671" s="27" t="str">
        <f aca="false">IF(F671=_xlfn.MINIFS($F$2:$F$948,$A$2:$A$948,$A671,$B$2:$B$948,$B671),"BEST","")</f>
        <v/>
      </c>
    </row>
    <row r="672" customFormat="false" ht="15" hidden="false" customHeight="false" outlineLevel="0" collapsed="false">
      <c r="A672" s="16" t="s">
        <v>50</v>
      </c>
      <c r="B672" s="17" t="n">
        <v>12</v>
      </c>
      <c r="C672" s="17" t="s">
        <v>70</v>
      </c>
      <c r="D672" s="16" t="s">
        <v>68</v>
      </c>
      <c r="E672" s="17" t="n">
        <v>18</v>
      </c>
      <c r="F672" s="26" t="n">
        <v>0.00200572884715642</v>
      </c>
      <c r="G672" s="17" t="n">
        <v>56</v>
      </c>
      <c r="H672" s="17" t="n">
        <v>600</v>
      </c>
      <c r="I672" s="17"/>
      <c r="J672" s="17" t="n">
        <v>5</v>
      </c>
      <c r="K672" s="17"/>
      <c r="L672" s="17"/>
      <c r="M672" s="17" t="n">
        <v>3</v>
      </c>
      <c r="N672" s="27" t="str">
        <f aca="false">IF(F672=_xlfn.MINIFS($F$2:$F$948,$A$2:$A$948,$A672,$B$2:$B$948,$B672),"BEST","")</f>
        <v/>
      </c>
    </row>
    <row r="673" customFormat="false" ht="15" hidden="false" customHeight="false" outlineLevel="0" collapsed="false">
      <c r="A673" s="16" t="s">
        <v>50</v>
      </c>
      <c r="B673" s="17" t="n">
        <v>12</v>
      </c>
      <c r="C673" s="17" t="s">
        <v>70</v>
      </c>
      <c r="D673" s="16" t="s">
        <v>68</v>
      </c>
      <c r="E673" s="17" t="n">
        <v>19</v>
      </c>
      <c r="F673" s="26" t="n">
        <v>0.00200572884715642</v>
      </c>
      <c r="G673" s="17" t="n">
        <v>56</v>
      </c>
      <c r="H673" s="17" t="n">
        <v>600</v>
      </c>
      <c r="I673" s="17"/>
      <c r="J673" s="17" t="n">
        <v>5</v>
      </c>
      <c r="K673" s="17"/>
      <c r="L673" s="17"/>
      <c r="M673" s="17" t="n">
        <v>3</v>
      </c>
      <c r="N673" s="27" t="str">
        <f aca="false">IF(F673=_xlfn.MINIFS($F$2:$F$948,$A$2:$A$948,$A673,$B$2:$B$948,$B673),"BEST","")</f>
        <v/>
      </c>
    </row>
    <row r="674" customFormat="false" ht="15" hidden="false" customHeight="false" outlineLevel="0" collapsed="false">
      <c r="A674" s="16" t="s">
        <v>51</v>
      </c>
      <c r="B674" s="17" t="n">
        <v>4</v>
      </c>
      <c r="C674" s="17" t="s">
        <v>67</v>
      </c>
      <c r="D674" s="16" t="s">
        <v>68</v>
      </c>
      <c r="E674" s="17" t="n">
        <v>0</v>
      </c>
      <c r="F674" s="26" t="n">
        <v>0.00210114470915184</v>
      </c>
      <c r="G674" s="17" t="n">
        <v>64</v>
      </c>
      <c r="H674" s="17" t="n">
        <v>1500</v>
      </c>
      <c r="I674" s="17"/>
      <c r="J674" s="17" t="n">
        <v>5</v>
      </c>
      <c r="K674" s="17"/>
      <c r="L674" s="17"/>
      <c r="M674" s="17"/>
      <c r="N674" s="27" t="str">
        <f aca="false">IF(F674=_xlfn.MINIFS($F$2:$F$948,$A$2:$A$948,$A674,$B$2:$B$948,$B674),"BEST","")</f>
        <v/>
      </c>
    </row>
    <row r="675" customFormat="false" ht="15" hidden="false" customHeight="false" outlineLevel="0" collapsed="false">
      <c r="A675" s="16" t="s">
        <v>51</v>
      </c>
      <c r="B675" s="17" t="n">
        <v>4</v>
      </c>
      <c r="C675" s="17" t="s">
        <v>67</v>
      </c>
      <c r="D675" s="16" t="s">
        <v>68</v>
      </c>
      <c r="E675" s="17" t="n">
        <v>1</v>
      </c>
      <c r="F675" s="26" t="n">
        <v>0.002028007798548</v>
      </c>
      <c r="G675" s="17" t="n">
        <v>64</v>
      </c>
      <c r="H675" s="17" t="n">
        <v>1500</v>
      </c>
      <c r="I675" s="17"/>
      <c r="J675" s="17" t="n">
        <v>5</v>
      </c>
      <c r="K675" s="17"/>
      <c r="L675" s="17"/>
      <c r="M675" s="17"/>
      <c r="N675" s="27" t="str">
        <f aca="false">IF(F675=_xlfn.MINIFS($F$2:$F$948,$A$2:$A$948,$A675,$B$2:$B$948,$B675),"BEST","")</f>
        <v/>
      </c>
    </row>
    <row r="676" customFormat="false" ht="15" hidden="false" customHeight="false" outlineLevel="0" collapsed="false">
      <c r="A676" s="16" t="s">
        <v>51</v>
      </c>
      <c r="B676" s="17" t="n">
        <v>4</v>
      </c>
      <c r="C676" s="17" t="s">
        <v>67</v>
      </c>
      <c r="D676" s="16" t="s">
        <v>68</v>
      </c>
      <c r="E676" s="17" t="n">
        <v>2</v>
      </c>
      <c r="F676" s="26" t="n">
        <v>0.00204962180390683</v>
      </c>
      <c r="G676" s="17" t="n">
        <v>64</v>
      </c>
      <c r="H676" s="17" t="n">
        <v>1500</v>
      </c>
      <c r="I676" s="17"/>
      <c r="J676" s="17" t="n">
        <v>5</v>
      </c>
      <c r="K676" s="17"/>
      <c r="L676" s="17"/>
      <c r="M676" s="17"/>
      <c r="N676" s="27" t="str">
        <f aca="false">IF(F676=_xlfn.MINIFS($F$2:$F$948,$A$2:$A$948,$A676,$B$2:$B$948,$B676),"BEST","")</f>
        <v/>
      </c>
    </row>
    <row r="677" customFormat="false" ht="15" hidden="false" customHeight="false" outlineLevel="0" collapsed="false">
      <c r="A677" s="16" t="s">
        <v>51</v>
      </c>
      <c r="B677" s="17" t="n">
        <v>4</v>
      </c>
      <c r="C677" s="17" t="s">
        <v>67</v>
      </c>
      <c r="D677" s="16" t="s">
        <v>68</v>
      </c>
      <c r="E677" s="17" t="n">
        <v>3</v>
      </c>
      <c r="F677" s="26" t="n">
        <v>0.00211271642267672</v>
      </c>
      <c r="G677" s="17" t="n">
        <v>64</v>
      </c>
      <c r="H677" s="17" t="n">
        <v>1500</v>
      </c>
      <c r="I677" s="17"/>
      <c r="J677" s="17" t="n">
        <v>5</v>
      </c>
      <c r="K677" s="17"/>
      <c r="L677" s="17"/>
      <c r="M677" s="17"/>
      <c r="N677" s="27" t="str">
        <f aca="false">IF(F677=_xlfn.MINIFS($F$2:$F$948,$A$2:$A$948,$A677,$B$2:$B$948,$B677),"BEST","")</f>
        <v/>
      </c>
    </row>
    <row r="678" customFormat="false" ht="15" hidden="false" customHeight="false" outlineLevel="0" collapsed="false">
      <c r="A678" s="16" t="s">
        <v>51</v>
      </c>
      <c r="B678" s="17" t="n">
        <v>4</v>
      </c>
      <c r="C678" s="17" t="s">
        <v>67</v>
      </c>
      <c r="D678" s="16" t="s">
        <v>68</v>
      </c>
      <c r="E678" s="17" t="n">
        <v>4</v>
      </c>
      <c r="F678" s="26" t="n">
        <v>0.00200913569763139</v>
      </c>
      <c r="G678" s="17" t="n">
        <v>64</v>
      </c>
      <c r="H678" s="17" t="n">
        <v>1500</v>
      </c>
      <c r="I678" s="17"/>
      <c r="J678" s="17" t="n">
        <v>5</v>
      </c>
      <c r="K678" s="17"/>
      <c r="L678" s="17"/>
      <c r="M678" s="17"/>
      <c r="N678" s="27" t="str">
        <f aca="false">IF(F678=_xlfn.MINIFS($F$2:$F$948,$A$2:$A$948,$A678,$B$2:$B$948,$B678),"BEST","")</f>
        <v/>
      </c>
    </row>
    <row r="679" customFormat="false" ht="15" hidden="false" customHeight="false" outlineLevel="0" collapsed="false">
      <c r="A679" s="16" t="s">
        <v>51</v>
      </c>
      <c r="B679" s="17" t="n">
        <v>4</v>
      </c>
      <c r="C679" s="17" t="s">
        <v>67</v>
      </c>
      <c r="D679" s="16" t="s">
        <v>68</v>
      </c>
      <c r="E679" s="17" t="n">
        <v>5</v>
      </c>
      <c r="F679" s="26" t="n">
        <v>0.00197852965950606</v>
      </c>
      <c r="G679" s="17" t="n">
        <v>64</v>
      </c>
      <c r="H679" s="17" t="n">
        <v>1500</v>
      </c>
      <c r="I679" s="17"/>
      <c r="J679" s="17" t="n">
        <v>5</v>
      </c>
      <c r="K679" s="17"/>
      <c r="L679" s="17"/>
      <c r="M679" s="17"/>
      <c r="N679" s="27" t="str">
        <f aca="false">IF(F679=_xlfn.MINIFS($F$2:$F$948,$A$2:$A$948,$A679,$B$2:$B$948,$B679),"BEST","")</f>
        <v>BEST</v>
      </c>
    </row>
    <row r="680" customFormat="false" ht="15" hidden="false" customHeight="false" outlineLevel="0" collapsed="false">
      <c r="A680" s="16" t="s">
        <v>51</v>
      </c>
      <c r="B680" s="17" t="n">
        <v>4</v>
      </c>
      <c r="C680" s="17" t="s">
        <v>67</v>
      </c>
      <c r="D680" s="16" t="s">
        <v>68</v>
      </c>
      <c r="E680" s="17" t="n">
        <v>6</v>
      </c>
      <c r="F680" s="26" t="n">
        <v>0.00206532537854619</v>
      </c>
      <c r="G680" s="17" t="n">
        <v>64</v>
      </c>
      <c r="H680" s="17" t="n">
        <v>1500</v>
      </c>
      <c r="I680" s="17"/>
      <c r="J680" s="17" t="n">
        <v>5</v>
      </c>
      <c r="K680" s="17"/>
      <c r="L680" s="17"/>
      <c r="M680" s="17"/>
      <c r="N680" s="27" t="str">
        <f aca="false">IF(F680=_xlfn.MINIFS($F$2:$F$948,$A$2:$A$948,$A680,$B$2:$B$948,$B680),"BEST","")</f>
        <v/>
      </c>
    </row>
    <row r="681" customFormat="false" ht="15" hidden="false" customHeight="false" outlineLevel="0" collapsed="false">
      <c r="A681" s="16" t="s">
        <v>51</v>
      </c>
      <c r="B681" s="17" t="n">
        <v>4</v>
      </c>
      <c r="C681" s="17" t="s">
        <v>67</v>
      </c>
      <c r="D681" s="16" t="s">
        <v>68</v>
      </c>
      <c r="E681" s="17" t="n">
        <v>7</v>
      </c>
      <c r="F681" s="26" t="n">
        <v>0.00211599634835757</v>
      </c>
      <c r="G681" s="17" t="n">
        <v>64</v>
      </c>
      <c r="H681" s="17" t="n">
        <v>1500</v>
      </c>
      <c r="I681" s="17"/>
      <c r="J681" s="17" t="n">
        <v>5</v>
      </c>
      <c r="K681" s="17"/>
      <c r="L681" s="17"/>
      <c r="M681" s="17"/>
      <c r="N681" s="27" t="str">
        <f aca="false">IF(F681=_xlfn.MINIFS($F$2:$F$948,$A$2:$A$948,$A681,$B$2:$B$948,$B681),"BEST","")</f>
        <v/>
      </c>
    </row>
    <row r="682" customFormat="false" ht="15" hidden="false" customHeight="false" outlineLevel="0" collapsed="false">
      <c r="A682" s="16" t="s">
        <v>51</v>
      </c>
      <c r="B682" s="17" t="n">
        <v>4</v>
      </c>
      <c r="C682" s="17" t="s">
        <v>67</v>
      </c>
      <c r="D682" s="16" t="s">
        <v>68</v>
      </c>
      <c r="E682" s="17" t="n">
        <v>8</v>
      </c>
      <c r="F682" s="26" t="n">
        <v>0.00208407785991333</v>
      </c>
      <c r="G682" s="17" t="n">
        <v>64</v>
      </c>
      <c r="H682" s="17" t="n">
        <v>1500</v>
      </c>
      <c r="I682" s="17"/>
      <c r="J682" s="17" t="n">
        <v>5</v>
      </c>
      <c r="K682" s="17"/>
      <c r="L682" s="17"/>
      <c r="M682" s="17"/>
      <c r="N682" s="27" t="str">
        <f aca="false">IF(F682=_xlfn.MINIFS($F$2:$F$948,$A$2:$A$948,$A682,$B$2:$B$948,$B682),"BEST","")</f>
        <v/>
      </c>
    </row>
    <row r="683" customFormat="false" ht="15" hidden="false" customHeight="false" outlineLevel="0" collapsed="false">
      <c r="A683" s="16" t="s">
        <v>51</v>
      </c>
      <c r="B683" s="17" t="n">
        <v>4</v>
      </c>
      <c r="C683" s="17" t="s">
        <v>67</v>
      </c>
      <c r="D683" s="16" t="s">
        <v>68</v>
      </c>
      <c r="E683" s="17" t="n">
        <v>9</v>
      </c>
      <c r="F683" s="26" t="n">
        <v>0.00216654335473624</v>
      </c>
      <c r="G683" s="17" t="n">
        <v>64</v>
      </c>
      <c r="H683" s="17" t="n">
        <v>1500</v>
      </c>
      <c r="I683" s="17"/>
      <c r="J683" s="17" t="n">
        <v>5</v>
      </c>
      <c r="K683" s="17"/>
      <c r="L683" s="17"/>
      <c r="M683" s="17"/>
      <c r="N683" s="27" t="str">
        <f aca="false">IF(F683=_xlfn.MINIFS($F$2:$F$948,$A$2:$A$948,$A683,$B$2:$B$948,$B683),"BEST","")</f>
        <v/>
      </c>
    </row>
    <row r="684" customFormat="false" ht="15" hidden="false" customHeight="false" outlineLevel="0" collapsed="false">
      <c r="A684" s="16" t="s">
        <v>51</v>
      </c>
      <c r="B684" s="17" t="n">
        <v>4</v>
      </c>
      <c r="C684" s="17" t="s">
        <v>67</v>
      </c>
      <c r="D684" s="16" t="s">
        <v>68</v>
      </c>
      <c r="E684" s="17" t="n">
        <v>10</v>
      </c>
      <c r="F684" s="26" t="n">
        <v>0.00203706416046769</v>
      </c>
      <c r="G684" s="17" t="n">
        <v>64</v>
      </c>
      <c r="H684" s="17" t="n">
        <v>1500</v>
      </c>
      <c r="I684" s="17"/>
      <c r="J684" s="17" t="n">
        <v>5</v>
      </c>
      <c r="K684" s="17"/>
      <c r="L684" s="17"/>
      <c r="M684" s="17"/>
      <c r="N684" s="27" t="str">
        <f aca="false">IF(F684=_xlfn.MINIFS($F$2:$F$948,$A$2:$A$948,$A684,$B$2:$B$948,$B684),"BEST","")</f>
        <v/>
      </c>
    </row>
    <row r="685" customFormat="false" ht="15" hidden="false" customHeight="false" outlineLevel="0" collapsed="false">
      <c r="A685" s="16" t="s">
        <v>51</v>
      </c>
      <c r="B685" s="17" t="n">
        <v>4</v>
      </c>
      <c r="C685" s="17" t="s">
        <v>67</v>
      </c>
      <c r="D685" s="16" t="s">
        <v>68</v>
      </c>
      <c r="E685" s="17" t="n">
        <v>11</v>
      </c>
      <c r="F685" s="26" t="n">
        <v>0.00200259781043716</v>
      </c>
      <c r="G685" s="17" t="n">
        <v>64</v>
      </c>
      <c r="H685" s="17" t="n">
        <v>1500</v>
      </c>
      <c r="I685" s="17"/>
      <c r="J685" s="17" t="n">
        <v>5</v>
      </c>
      <c r="K685" s="17"/>
      <c r="L685" s="17"/>
      <c r="M685" s="17"/>
      <c r="N685" s="27" t="str">
        <f aca="false">IF(F685=_xlfn.MINIFS($F$2:$F$948,$A$2:$A$948,$A685,$B$2:$B$948,$B685),"BEST","")</f>
        <v/>
      </c>
    </row>
    <row r="686" customFormat="false" ht="15" hidden="false" customHeight="false" outlineLevel="0" collapsed="false">
      <c r="A686" s="16" t="s">
        <v>51</v>
      </c>
      <c r="B686" s="17" t="n">
        <v>4</v>
      </c>
      <c r="C686" s="17" t="s">
        <v>67</v>
      </c>
      <c r="D686" s="16" t="s">
        <v>68</v>
      </c>
      <c r="E686" s="17" t="n">
        <v>12</v>
      </c>
      <c r="F686" s="26" t="n">
        <v>0.00200909042605525</v>
      </c>
      <c r="G686" s="17" t="n">
        <v>64</v>
      </c>
      <c r="H686" s="17" t="n">
        <v>1500</v>
      </c>
      <c r="I686" s="17"/>
      <c r="J686" s="17" t="n">
        <v>5</v>
      </c>
      <c r="K686" s="17"/>
      <c r="L686" s="17"/>
      <c r="M686" s="17"/>
      <c r="N686" s="27" t="str">
        <f aca="false">IF(F686=_xlfn.MINIFS($F$2:$F$948,$A$2:$A$948,$A686,$B$2:$B$948,$B686),"BEST","")</f>
        <v/>
      </c>
    </row>
    <row r="687" customFormat="false" ht="15" hidden="false" customHeight="false" outlineLevel="0" collapsed="false">
      <c r="A687" s="16" t="s">
        <v>51</v>
      </c>
      <c r="B687" s="17" t="n">
        <v>4</v>
      </c>
      <c r="C687" s="17" t="s">
        <v>67</v>
      </c>
      <c r="D687" s="16" t="s">
        <v>68</v>
      </c>
      <c r="E687" s="17" t="n">
        <v>13</v>
      </c>
      <c r="F687" s="26" t="n">
        <v>0.00205580847195681</v>
      </c>
      <c r="G687" s="17" t="n">
        <v>64</v>
      </c>
      <c r="H687" s="17" t="n">
        <v>1500</v>
      </c>
      <c r="I687" s="17"/>
      <c r="J687" s="17" t="n">
        <v>5</v>
      </c>
      <c r="K687" s="17"/>
      <c r="L687" s="17"/>
      <c r="M687" s="17"/>
      <c r="N687" s="27" t="str">
        <f aca="false">IF(F687=_xlfn.MINIFS($F$2:$F$948,$A$2:$A$948,$A687,$B$2:$B$948,$B687),"BEST","")</f>
        <v/>
      </c>
    </row>
    <row r="688" customFormat="false" ht="15" hidden="false" customHeight="false" outlineLevel="0" collapsed="false">
      <c r="A688" s="16" t="s">
        <v>51</v>
      </c>
      <c r="B688" s="17" t="n">
        <v>4</v>
      </c>
      <c r="C688" s="17" t="s">
        <v>67</v>
      </c>
      <c r="D688" s="16" t="s">
        <v>68</v>
      </c>
      <c r="E688" s="17" t="n">
        <v>14</v>
      </c>
      <c r="F688" s="26" t="n">
        <v>0.00211278435280687</v>
      </c>
      <c r="G688" s="17" t="n">
        <v>64</v>
      </c>
      <c r="H688" s="17" t="n">
        <v>1500</v>
      </c>
      <c r="I688" s="17"/>
      <c r="J688" s="17" t="n">
        <v>5</v>
      </c>
      <c r="K688" s="17"/>
      <c r="L688" s="17"/>
      <c r="M688" s="17"/>
      <c r="N688" s="27" t="str">
        <f aca="false">IF(F688=_xlfn.MINIFS($F$2:$F$948,$A$2:$A$948,$A688,$B$2:$B$948,$B688),"BEST","")</f>
        <v/>
      </c>
    </row>
    <row r="689" customFormat="false" ht="15" hidden="false" customHeight="false" outlineLevel="0" collapsed="false">
      <c r="A689" s="16" t="s">
        <v>51</v>
      </c>
      <c r="B689" s="17" t="n">
        <v>4</v>
      </c>
      <c r="C689" s="17" t="s">
        <v>67</v>
      </c>
      <c r="D689" s="16" t="s">
        <v>68</v>
      </c>
      <c r="E689" s="17" t="n">
        <v>15</v>
      </c>
      <c r="F689" s="26" t="n">
        <v>0.00198676984412812</v>
      </c>
      <c r="G689" s="17" t="n">
        <v>64</v>
      </c>
      <c r="H689" s="17" t="n">
        <v>1500</v>
      </c>
      <c r="I689" s="17"/>
      <c r="J689" s="17" t="n">
        <v>5</v>
      </c>
      <c r="K689" s="17"/>
      <c r="L689" s="17"/>
      <c r="M689" s="17"/>
      <c r="N689" s="27" t="str">
        <f aca="false">IF(F689=_xlfn.MINIFS($F$2:$F$948,$A$2:$A$948,$A689,$B$2:$B$948,$B689),"BEST","")</f>
        <v/>
      </c>
    </row>
    <row r="690" customFormat="false" ht="15" hidden="false" customHeight="false" outlineLevel="0" collapsed="false">
      <c r="A690" s="16" t="s">
        <v>51</v>
      </c>
      <c r="B690" s="17" t="n">
        <v>4</v>
      </c>
      <c r="C690" s="17" t="s">
        <v>67</v>
      </c>
      <c r="D690" s="16" t="s">
        <v>68</v>
      </c>
      <c r="E690" s="17" t="n">
        <v>16</v>
      </c>
      <c r="F690" s="26" t="n">
        <v>0.00199975157992801</v>
      </c>
      <c r="G690" s="17" t="n">
        <v>64</v>
      </c>
      <c r="H690" s="17" t="n">
        <v>1500</v>
      </c>
      <c r="I690" s="17"/>
      <c r="J690" s="17" t="n">
        <v>5</v>
      </c>
      <c r="K690" s="17"/>
      <c r="L690" s="17"/>
      <c r="M690" s="17"/>
      <c r="N690" s="27" t="str">
        <f aca="false">IF(F690=_xlfn.MINIFS($F$2:$F$948,$A$2:$A$948,$A690,$B$2:$B$948,$B690),"BEST","")</f>
        <v/>
      </c>
    </row>
    <row r="691" customFormat="false" ht="15" hidden="false" customHeight="false" outlineLevel="0" collapsed="false">
      <c r="A691" s="16" t="s">
        <v>51</v>
      </c>
      <c r="B691" s="17" t="n">
        <v>4</v>
      </c>
      <c r="C691" s="17" t="s">
        <v>67</v>
      </c>
      <c r="D691" s="16" t="s">
        <v>68</v>
      </c>
      <c r="E691" s="17" t="n">
        <v>17</v>
      </c>
      <c r="F691" s="26" t="n">
        <v>0.00205878786695302</v>
      </c>
      <c r="G691" s="17" t="n">
        <v>64</v>
      </c>
      <c r="H691" s="17" t="n">
        <v>1500</v>
      </c>
      <c r="I691" s="17"/>
      <c r="J691" s="17" t="n">
        <v>5</v>
      </c>
      <c r="K691" s="17"/>
      <c r="L691" s="17"/>
      <c r="M691" s="17"/>
      <c r="N691" s="27" t="str">
        <f aca="false">IF(F691=_xlfn.MINIFS($F$2:$F$948,$A$2:$A$948,$A691,$B$2:$B$948,$B691),"BEST","")</f>
        <v/>
      </c>
    </row>
    <row r="692" customFormat="false" ht="15" hidden="false" customHeight="false" outlineLevel="0" collapsed="false">
      <c r="A692" s="16" t="s">
        <v>51</v>
      </c>
      <c r="B692" s="17" t="n">
        <v>4</v>
      </c>
      <c r="C692" s="17" t="s">
        <v>67</v>
      </c>
      <c r="D692" s="16" t="s">
        <v>68</v>
      </c>
      <c r="E692" s="17" t="n">
        <v>18</v>
      </c>
      <c r="F692" s="26" t="n">
        <v>0.00206416834379265</v>
      </c>
      <c r="G692" s="17" t="n">
        <v>64</v>
      </c>
      <c r="H692" s="17" t="n">
        <v>1500</v>
      </c>
      <c r="I692" s="17"/>
      <c r="J692" s="17" t="n">
        <v>5</v>
      </c>
      <c r="K692" s="17"/>
      <c r="L692" s="17"/>
      <c r="M692" s="17"/>
      <c r="N692" s="27" t="str">
        <f aca="false">IF(F692=_xlfn.MINIFS($F$2:$F$948,$A$2:$A$948,$A692,$B$2:$B$948,$B692),"BEST","")</f>
        <v/>
      </c>
    </row>
    <row r="693" customFormat="false" ht="15" hidden="false" customHeight="false" outlineLevel="0" collapsed="false">
      <c r="A693" s="16" t="s">
        <v>51</v>
      </c>
      <c r="B693" s="17" t="n">
        <v>4</v>
      </c>
      <c r="C693" s="17" t="s">
        <v>67</v>
      </c>
      <c r="D693" s="16" t="s">
        <v>68</v>
      </c>
      <c r="E693" s="17" t="n">
        <v>19</v>
      </c>
      <c r="F693" s="26" t="n">
        <v>0.00206795181869524</v>
      </c>
      <c r="G693" s="17" t="n">
        <v>64</v>
      </c>
      <c r="H693" s="17" t="n">
        <v>1500</v>
      </c>
      <c r="I693" s="17"/>
      <c r="J693" s="17" t="n">
        <v>5</v>
      </c>
      <c r="K693" s="17"/>
      <c r="L693" s="17"/>
      <c r="M693" s="17"/>
      <c r="N693" s="27" t="str">
        <f aca="false">IF(F693=_xlfn.MINIFS($F$2:$F$948,$A$2:$A$948,$A693,$B$2:$B$948,$B693),"BEST","")</f>
        <v/>
      </c>
    </row>
    <row r="694" customFormat="false" ht="15" hidden="false" customHeight="false" outlineLevel="0" collapsed="false">
      <c r="A694" s="16" t="s">
        <v>51</v>
      </c>
      <c r="B694" s="17" t="n">
        <v>4</v>
      </c>
      <c r="C694" s="17" t="s">
        <v>69</v>
      </c>
      <c r="D694" s="16" t="s">
        <v>68</v>
      </c>
      <c r="E694" s="17" t="n">
        <v>0</v>
      </c>
      <c r="F694" s="26" t="n">
        <v>0.0128616026774549</v>
      </c>
      <c r="G694" s="17" t="n">
        <v>64</v>
      </c>
      <c r="H694" s="17" t="n">
        <v>1500</v>
      </c>
      <c r="I694" s="17"/>
      <c r="J694" s="17" t="n">
        <v>5</v>
      </c>
      <c r="K694" s="17"/>
      <c r="L694" s="17"/>
      <c r="M694" s="17"/>
      <c r="N694" s="27" t="str">
        <f aca="false">IF(F694=_xlfn.MINIFS($F$2:$F$948,$A$2:$A$948,$A694,$B$2:$B$948,$B694),"BEST","")</f>
        <v/>
      </c>
    </row>
    <row r="695" customFormat="false" ht="15" hidden="false" customHeight="false" outlineLevel="0" collapsed="false">
      <c r="A695" s="16" t="s">
        <v>51</v>
      </c>
      <c r="B695" s="17" t="n">
        <v>4</v>
      </c>
      <c r="C695" s="17" t="s">
        <v>69</v>
      </c>
      <c r="D695" s="16" t="s">
        <v>68</v>
      </c>
      <c r="E695" s="17" t="n">
        <v>1</v>
      </c>
      <c r="F695" s="26" t="n">
        <v>0.0136503780930434</v>
      </c>
      <c r="G695" s="17" t="n">
        <v>64</v>
      </c>
      <c r="H695" s="17" t="n">
        <v>1500</v>
      </c>
      <c r="I695" s="17"/>
      <c r="J695" s="17" t="n">
        <v>5</v>
      </c>
      <c r="K695" s="17"/>
      <c r="L695" s="17"/>
      <c r="M695" s="17"/>
      <c r="N695" s="27" t="str">
        <f aca="false">IF(F695=_xlfn.MINIFS($F$2:$F$948,$A$2:$A$948,$A695,$B$2:$B$948,$B695),"BEST","")</f>
        <v/>
      </c>
    </row>
    <row r="696" customFormat="false" ht="15" hidden="false" customHeight="false" outlineLevel="0" collapsed="false">
      <c r="A696" s="16" t="s">
        <v>51</v>
      </c>
      <c r="B696" s="17" t="n">
        <v>4</v>
      </c>
      <c r="C696" s="17" t="s">
        <v>69</v>
      </c>
      <c r="D696" s="16" t="s">
        <v>68</v>
      </c>
      <c r="E696" s="17" t="n">
        <v>2</v>
      </c>
      <c r="F696" s="26" t="n">
        <v>0.0100615763640844</v>
      </c>
      <c r="G696" s="17" t="n">
        <v>64</v>
      </c>
      <c r="H696" s="17" t="n">
        <v>1500</v>
      </c>
      <c r="I696" s="17"/>
      <c r="J696" s="17" t="n">
        <v>5</v>
      </c>
      <c r="K696" s="17"/>
      <c r="L696" s="17"/>
      <c r="M696" s="17"/>
      <c r="N696" s="27" t="str">
        <f aca="false">IF(F696=_xlfn.MINIFS($F$2:$F$948,$A$2:$A$948,$A696,$B$2:$B$948,$B696),"BEST","")</f>
        <v/>
      </c>
    </row>
    <row r="697" customFormat="false" ht="15" hidden="false" customHeight="false" outlineLevel="0" collapsed="false">
      <c r="A697" s="16" t="s">
        <v>51</v>
      </c>
      <c r="B697" s="17" t="n">
        <v>4</v>
      </c>
      <c r="C697" s="17" t="s">
        <v>69</v>
      </c>
      <c r="D697" s="16" t="s">
        <v>68</v>
      </c>
      <c r="E697" s="17" t="n">
        <v>3</v>
      </c>
      <c r="F697" s="26" t="n">
        <v>0.0124975797013032</v>
      </c>
      <c r="G697" s="17" t="n">
        <v>64</v>
      </c>
      <c r="H697" s="17" t="n">
        <v>1500</v>
      </c>
      <c r="I697" s="17"/>
      <c r="J697" s="17" t="n">
        <v>5</v>
      </c>
      <c r="K697" s="17"/>
      <c r="L697" s="17"/>
      <c r="M697" s="17"/>
      <c r="N697" s="27" t="str">
        <f aca="false">IF(F697=_xlfn.MINIFS($F$2:$F$948,$A$2:$A$948,$A697,$B$2:$B$948,$B697),"BEST","")</f>
        <v/>
      </c>
    </row>
    <row r="698" customFormat="false" ht="15" hidden="false" customHeight="false" outlineLevel="0" collapsed="false">
      <c r="A698" s="16" t="s">
        <v>51</v>
      </c>
      <c r="B698" s="17" t="n">
        <v>4</v>
      </c>
      <c r="C698" s="17" t="s">
        <v>69</v>
      </c>
      <c r="D698" s="16" t="s">
        <v>68</v>
      </c>
      <c r="E698" s="17" t="n">
        <v>4</v>
      </c>
      <c r="F698" s="26" t="n">
        <v>0.0109201287246508</v>
      </c>
      <c r="G698" s="17" t="n">
        <v>64</v>
      </c>
      <c r="H698" s="17" t="n">
        <v>1500</v>
      </c>
      <c r="I698" s="17"/>
      <c r="J698" s="17" t="n">
        <v>5</v>
      </c>
      <c r="K698" s="17"/>
      <c r="L698" s="17"/>
      <c r="M698" s="17"/>
      <c r="N698" s="27" t="str">
        <f aca="false">IF(F698=_xlfn.MINIFS($F$2:$F$948,$A$2:$A$948,$A698,$B$2:$B$948,$B698),"BEST","")</f>
        <v/>
      </c>
    </row>
    <row r="699" customFormat="false" ht="15" hidden="false" customHeight="false" outlineLevel="0" collapsed="false">
      <c r="A699" s="16" t="s">
        <v>51</v>
      </c>
      <c r="B699" s="17" t="n">
        <v>4</v>
      </c>
      <c r="C699" s="17" t="s">
        <v>69</v>
      </c>
      <c r="D699" s="16" t="s">
        <v>68</v>
      </c>
      <c r="E699" s="17" t="n">
        <v>5</v>
      </c>
      <c r="F699" s="26" t="n">
        <v>0.00997511307839472</v>
      </c>
      <c r="G699" s="17" t="n">
        <v>64</v>
      </c>
      <c r="H699" s="17" t="n">
        <v>1500</v>
      </c>
      <c r="I699" s="17"/>
      <c r="J699" s="17" t="n">
        <v>5</v>
      </c>
      <c r="K699" s="17"/>
      <c r="L699" s="17"/>
      <c r="M699" s="17"/>
      <c r="N699" s="27" t="str">
        <f aca="false">IF(F699=_xlfn.MINIFS($F$2:$F$948,$A$2:$A$948,$A699,$B$2:$B$948,$B699),"BEST","")</f>
        <v/>
      </c>
    </row>
    <row r="700" customFormat="false" ht="15" hidden="false" customHeight="false" outlineLevel="0" collapsed="false">
      <c r="A700" s="16" t="s">
        <v>51</v>
      </c>
      <c r="B700" s="17" t="n">
        <v>4</v>
      </c>
      <c r="C700" s="17" t="s">
        <v>69</v>
      </c>
      <c r="D700" s="16" t="s">
        <v>68</v>
      </c>
      <c r="E700" s="17" t="n">
        <v>6</v>
      </c>
      <c r="F700" s="26" t="n">
        <v>0.0107452968401067</v>
      </c>
      <c r="G700" s="17" t="n">
        <v>64</v>
      </c>
      <c r="H700" s="17" t="n">
        <v>1500</v>
      </c>
      <c r="I700" s="17"/>
      <c r="J700" s="17" t="n">
        <v>5</v>
      </c>
      <c r="K700" s="17"/>
      <c r="L700" s="17"/>
      <c r="M700" s="17"/>
      <c r="N700" s="27" t="str">
        <f aca="false">IF(F700=_xlfn.MINIFS($F$2:$F$948,$A$2:$A$948,$A700,$B$2:$B$948,$B700),"BEST","")</f>
        <v/>
      </c>
    </row>
    <row r="701" customFormat="false" ht="15" hidden="false" customHeight="false" outlineLevel="0" collapsed="false">
      <c r="A701" s="16" t="s">
        <v>51</v>
      </c>
      <c r="B701" s="17" t="n">
        <v>4</v>
      </c>
      <c r="C701" s="17" t="s">
        <v>69</v>
      </c>
      <c r="D701" s="16" t="s">
        <v>68</v>
      </c>
      <c r="E701" s="17" t="n">
        <v>7</v>
      </c>
      <c r="F701" s="26" t="n">
        <v>0.0146483685431399</v>
      </c>
      <c r="G701" s="17" t="n">
        <v>64</v>
      </c>
      <c r="H701" s="17" t="n">
        <v>1500</v>
      </c>
      <c r="I701" s="17"/>
      <c r="J701" s="17" t="n">
        <v>5</v>
      </c>
      <c r="K701" s="17"/>
      <c r="L701" s="17"/>
      <c r="M701" s="17"/>
      <c r="N701" s="27" t="str">
        <f aca="false">IF(F701=_xlfn.MINIFS($F$2:$F$948,$A$2:$A$948,$A701,$B$2:$B$948,$B701),"BEST","")</f>
        <v/>
      </c>
    </row>
    <row r="702" customFormat="false" ht="15" hidden="false" customHeight="false" outlineLevel="0" collapsed="false">
      <c r="A702" s="16" t="s">
        <v>51</v>
      </c>
      <c r="B702" s="17" t="n">
        <v>4</v>
      </c>
      <c r="C702" s="17" t="s">
        <v>69</v>
      </c>
      <c r="D702" s="16" t="s">
        <v>68</v>
      </c>
      <c r="E702" s="17" t="n">
        <v>8</v>
      </c>
      <c r="F702" s="26" t="n">
        <v>0.0116295039413788</v>
      </c>
      <c r="G702" s="17" t="n">
        <v>64</v>
      </c>
      <c r="H702" s="17" t="n">
        <v>1500</v>
      </c>
      <c r="I702" s="17"/>
      <c r="J702" s="17" t="n">
        <v>5</v>
      </c>
      <c r="K702" s="17"/>
      <c r="L702" s="17"/>
      <c r="M702" s="17"/>
      <c r="N702" s="27" t="str">
        <f aca="false">IF(F702=_xlfn.MINIFS($F$2:$F$948,$A$2:$A$948,$A702,$B$2:$B$948,$B702),"BEST","")</f>
        <v/>
      </c>
    </row>
    <row r="703" customFormat="false" ht="15" hidden="false" customHeight="false" outlineLevel="0" collapsed="false">
      <c r="A703" s="16" t="s">
        <v>51</v>
      </c>
      <c r="B703" s="17" t="n">
        <v>4</v>
      </c>
      <c r="C703" s="17" t="s">
        <v>69</v>
      </c>
      <c r="D703" s="16" t="s">
        <v>68</v>
      </c>
      <c r="E703" s="17" t="n">
        <v>9</v>
      </c>
      <c r="F703" s="26" t="n">
        <v>0.0167710379112054</v>
      </c>
      <c r="G703" s="17" t="n">
        <v>64</v>
      </c>
      <c r="H703" s="17" t="n">
        <v>1500</v>
      </c>
      <c r="I703" s="17"/>
      <c r="J703" s="17" t="n">
        <v>5</v>
      </c>
      <c r="K703" s="17"/>
      <c r="L703" s="17"/>
      <c r="M703" s="17"/>
      <c r="N703" s="27" t="str">
        <f aca="false">IF(F703=_xlfn.MINIFS($F$2:$F$948,$A$2:$A$948,$A703,$B$2:$B$948,$B703),"BEST","")</f>
        <v/>
      </c>
    </row>
    <row r="704" customFormat="false" ht="15" hidden="false" customHeight="false" outlineLevel="0" collapsed="false">
      <c r="A704" s="16" t="s">
        <v>51</v>
      </c>
      <c r="B704" s="17" t="n">
        <v>4</v>
      </c>
      <c r="C704" s="17" t="s">
        <v>69</v>
      </c>
      <c r="D704" s="16" t="s">
        <v>68</v>
      </c>
      <c r="E704" s="17" t="n">
        <v>10</v>
      </c>
      <c r="F704" s="26" t="n">
        <v>0.010245965817847</v>
      </c>
      <c r="G704" s="17" t="n">
        <v>64</v>
      </c>
      <c r="H704" s="17" t="n">
        <v>1500</v>
      </c>
      <c r="I704" s="17"/>
      <c r="J704" s="17" t="n">
        <v>5</v>
      </c>
      <c r="K704" s="17"/>
      <c r="L704" s="17"/>
      <c r="M704" s="17"/>
      <c r="N704" s="27" t="str">
        <f aca="false">IF(F704=_xlfn.MINIFS($F$2:$F$948,$A$2:$A$948,$A704,$B$2:$B$948,$B704),"BEST","")</f>
        <v/>
      </c>
    </row>
    <row r="705" customFormat="false" ht="15" hidden="false" customHeight="false" outlineLevel="0" collapsed="false">
      <c r="A705" s="16" t="s">
        <v>51</v>
      </c>
      <c r="B705" s="17" t="n">
        <v>4</v>
      </c>
      <c r="C705" s="17" t="s">
        <v>69</v>
      </c>
      <c r="D705" s="16" t="s">
        <v>68</v>
      </c>
      <c r="E705" s="17" t="n">
        <v>11</v>
      </c>
      <c r="F705" s="26" t="n">
        <v>0.0118775559930143</v>
      </c>
      <c r="G705" s="17" t="n">
        <v>64</v>
      </c>
      <c r="H705" s="17" t="n">
        <v>1500</v>
      </c>
      <c r="I705" s="17"/>
      <c r="J705" s="17" t="n">
        <v>5</v>
      </c>
      <c r="K705" s="17"/>
      <c r="L705" s="17"/>
      <c r="M705" s="17"/>
      <c r="N705" s="27" t="str">
        <f aca="false">IF(F705=_xlfn.MINIFS($F$2:$F$948,$A$2:$A$948,$A705,$B$2:$B$948,$B705),"BEST","")</f>
        <v/>
      </c>
    </row>
    <row r="706" customFormat="false" ht="15" hidden="false" customHeight="false" outlineLevel="0" collapsed="false">
      <c r="A706" s="16" t="s">
        <v>51</v>
      </c>
      <c r="B706" s="17" t="n">
        <v>4</v>
      </c>
      <c r="C706" s="17" t="s">
        <v>69</v>
      </c>
      <c r="D706" s="16" t="s">
        <v>68</v>
      </c>
      <c r="E706" s="17" t="n">
        <v>12</v>
      </c>
      <c r="F706" s="26" t="n">
        <v>0.0126977273565568</v>
      </c>
      <c r="G706" s="17" t="n">
        <v>64</v>
      </c>
      <c r="H706" s="17" t="n">
        <v>1500</v>
      </c>
      <c r="I706" s="17"/>
      <c r="J706" s="17" t="n">
        <v>5</v>
      </c>
      <c r="K706" s="17"/>
      <c r="L706" s="17"/>
      <c r="M706" s="17"/>
      <c r="N706" s="27" t="str">
        <f aca="false">IF(F706=_xlfn.MINIFS($F$2:$F$948,$A$2:$A$948,$A706,$B$2:$B$948,$B706),"BEST","")</f>
        <v/>
      </c>
    </row>
    <row r="707" customFormat="false" ht="15" hidden="false" customHeight="false" outlineLevel="0" collapsed="false">
      <c r="A707" s="16" t="s">
        <v>51</v>
      </c>
      <c r="B707" s="17" t="n">
        <v>4</v>
      </c>
      <c r="C707" s="17" t="s">
        <v>69</v>
      </c>
      <c r="D707" s="16" t="s">
        <v>68</v>
      </c>
      <c r="E707" s="17" t="n">
        <v>13</v>
      </c>
      <c r="F707" s="26" t="n">
        <v>0.00979821926340267</v>
      </c>
      <c r="G707" s="17" t="n">
        <v>64</v>
      </c>
      <c r="H707" s="17" t="n">
        <v>1500</v>
      </c>
      <c r="I707" s="17"/>
      <c r="J707" s="17" t="n">
        <v>5</v>
      </c>
      <c r="K707" s="17"/>
      <c r="L707" s="17"/>
      <c r="M707" s="17"/>
      <c r="N707" s="27" t="str">
        <f aca="false">IF(F707=_xlfn.MINIFS($F$2:$F$948,$A$2:$A$948,$A707,$B$2:$B$948,$B707),"BEST","")</f>
        <v/>
      </c>
    </row>
    <row r="708" customFormat="false" ht="15" hidden="false" customHeight="false" outlineLevel="0" collapsed="false">
      <c r="A708" s="16" t="s">
        <v>51</v>
      </c>
      <c r="B708" s="17" t="n">
        <v>4</v>
      </c>
      <c r="C708" s="17" t="s">
        <v>69</v>
      </c>
      <c r="D708" s="16" t="s">
        <v>68</v>
      </c>
      <c r="E708" s="17" t="n">
        <v>14</v>
      </c>
      <c r="F708" s="26" t="n">
        <v>0.0135686775232399</v>
      </c>
      <c r="G708" s="17" t="n">
        <v>64</v>
      </c>
      <c r="H708" s="17" t="n">
        <v>1500</v>
      </c>
      <c r="I708" s="17"/>
      <c r="J708" s="17" t="n">
        <v>5</v>
      </c>
      <c r="K708" s="17"/>
      <c r="L708" s="17"/>
      <c r="M708" s="17"/>
      <c r="N708" s="27" t="str">
        <f aca="false">IF(F708=_xlfn.MINIFS($F$2:$F$948,$A$2:$A$948,$A708,$B$2:$B$948,$B708),"BEST","")</f>
        <v/>
      </c>
    </row>
    <row r="709" customFormat="false" ht="15" hidden="false" customHeight="false" outlineLevel="0" collapsed="false">
      <c r="A709" s="16" t="s">
        <v>51</v>
      </c>
      <c r="B709" s="17" t="n">
        <v>4</v>
      </c>
      <c r="C709" s="17" t="s">
        <v>69</v>
      </c>
      <c r="D709" s="16" t="s">
        <v>68</v>
      </c>
      <c r="E709" s="17" t="n">
        <v>15</v>
      </c>
      <c r="F709" s="26" t="n">
        <v>0.0112451445103293</v>
      </c>
      <c r="G709" s="17" t="n">
        <v>64</v>
      </c>
      <c r="H709" s="17" t="n">
        <v>1500</v>
      </c>
      <c r="I709" s="17"/>
      <c r="J709" s="17" t="n">
        <v>5</v>
      </c>
      <c r="K709" s="17"/>
      <c r="L709" s="17"/>
      <c r="M709" s="17"/>
      <c r="N709" s="27" t="str">
        <f aca="false">IF(F709=_xlfn.MINIFS($F$2:$F$948,$A$2:$A$948,$A709,$B$2:$B$948,$B709),"BEST","")</f>
        <v/>
      </c>
    </row>
    <row r="710" customFormat="false" ht="15" hidden="false" customHeight="false" outlineLevel="0" collapsed="false">
      <c r="A710" s="16" t="s">
        <v>51</v>
      </c>
      <c r="B710" s="17" t="n">
        <v>4</v>
      </c>
      <c r="C710" s="17" t="s">
        <v>69</v>
      </c>
      <c r="D710" s="16" t="s">
        <v>68</v>
      </c>
      <c r="E710" s="17" t="n">
        <v>16</v>
      </c>
      <c r="F710" s="26" t="n">
        <v>0.0108185156279746</v>
      </c>
      <c r="G710" s="17" t="n">
        <v>64</v>
      </c>
      <c r="H710" s="17" t="n">
        <v>1500</v>
      </c>
      <c r="I710" s="17"/>
      <c r="J710" s="17" t="n">
        <v>5</v>
      </c>
      <c r="K710" s="17"/>
      <c r="L710" s="17"/>
      <c r="M710" s="17"/>
      <c r="N710" s="27" t="str">
        <f aca="false">IF(F710=_xlfn.MINIFS($F$2:$F$948,$A$2:$A$948,$A710,$B$2:$B$948,$B710),"BEST","")</f>
        <v/>
      </c>
    </row>
    <row r="711" customFormat="false" ht="15" hidden="false" customHeight="false" outlineLevel="0" collapsed="false">
      <c r="A711" s="16" t="s">
        <v>51</v>
      </c>
      <c r="B711" s="17" t="n">
        <v>4</v>
      </c>
      <c r="C711" s="17" t="s">
        <v>69</v>
      </c>
      <c r="D711" s="16" t="s">
        <v>68</v>
      </c>
      <c r="E711" s="17" t="n">
        <v>17</v>
      </c>
      <c r="F711" s="26" t="n">
        <v>0.0111830294652701</v>
      </c>
      <c r="G711" s="17" t="n">
        <v>64</v>
      </c>
      <c r="H711" s="17" t="n">
        <v>1500</v>
      </c>
      <c r="I711" s="17"/>
      <c r="J711" s="17" t="n">
        <v>5</v>
      </c>
      <c r="K711" s="17"/>
      <c r="L711" s="17"/>
      <c r="M711" s="17"/>
      <c r="N711" s="27" t="str">
        <f aca="false">IF(F711=_xlfn.MINIFS($F$2:$F$948,$A$2:$A$948,$A711,$B$2:$B$948,$B711),"BEST","")</f>
        <v/>
      </c>
    </row>
    <row r="712" customFormat="false" ht="15" hidden="false" customHeight="false" outlineLevel="0" collapsed="false">
      <c r="A712" s="16" t="s">
        <v>51</v>
      </c>
      <c r="B712" s="17" t="n">
        <v>4</v>
      </c>
      <c r="C712" s="17" t="s">
        <v>69</v>
      </c>
      <c r="D712" s="16" t="s">
        <v>68</v>
      </c>
      <c r="E712" s="17" t="n">
        <v>18</v>
      </c>
      <c r="F712" s="26" t="n">
        <v>0.0112369238170799</v>
      </c>
      <c r="G712" s="17" t="n">
        <v>64</v>
      </c>
      <c r="H712" s="17" t="n">
        <v>1500</v>
      </c>
      <c r="I712" s="17"/>
      <c r="J712" s="17" t="n">
        <v>5</v>
      </c>
      <c r="K712" s="17"/>
      <c r="L712" s="17"/>
      <c r="M712" s="17"/>
      <c r="N712" s="27" t="str">
        <f aca="false">IF(F712=_xlfn.MINIFS($F$2:$F$948,$A$2:$A$948,$A712,$B$2:$B$948,$B712),"BEST","")</f>
        <v/>
      </c>
    </row>
    <row r="713" customFormat="false" ht="15" hidden="false" customHeight="false" outlineLevel="0" collapsed="false">
      <c r="A713" s="16" t="s">
        <v>51</v>
      </c>
      <c r="B713" s="17" t="n">
        <v>4</v>
      </c>
      <c r="C713" s="17" t="s">
        <v>69</v>
      </c>
      <c r="D713" s="16" t="s">
        <v>68</v>
      </c>
      <c r="E713" s="17" t="n">
        <v>19</v>
      </c>
      <c r="F713" s="26" t="n">
        <v>0.0113172978215298</v>
      </c>
      <c r="G713" s="17" t="n">
        <v>64</v>
      </c>
      <c r="H713" s="17" t="n">
        <v>1500</v>
      </c>
      <c r="I713" s="17"/>
      <c r="J713" s="17" t="n">
        <v>5</v>
      </c>
      <c r="K713" s="17"/>
      <c r="L713" s="17"/>
      <c r="M713" s="17"/>
      <c r="N713" s="27" t="str">
        <f aca="false">IF(F713=_xlfn.MINIFS($F$2:$F$948,$A$2:$A$948,$A713,$B$2:$B$948,$B713),"BEST","")</f>
        <v/>
      </c>
    </row>
    <row r="714" customFormat="false" ht="15" hidden="false" customHeight="false" outlineLevel="0" collapsed="false">
      <c r="A714" s="16" t="s">
        <v>51</v>
      </c>
      <c r="B714" s="17" t="n">
        <v>4</v>
      </c>
      <c r="C714" s="17" t="s">
        <v>70</v>
      </c>
      <c r="D714" s="16" t="s">
        <v>68</v>
      </c>
      <c r="E714" s="17" t="n">
        <v>0</v>
      </c>
      <c r="F714" s="26" t="n">
        <v>0.00229457315148978</v>
      </c>
      <c r="G714" s="17" t="n">
        <v>21</v>
      </c>
      <c r="H714" s="17" t="n">
        <v>1500</v>
      </c>
      <c r="I714" s="17"/>
      <c r="J714" s="17" t="n">
        <v>5</v>
      </c>
      <c r="K714" s="17"/>
      <c r="L714" s="17"/>
      <c r="M714" s="17" t="n">
        <v>2</v>
      </c>
      <c r="N714" s="27" t="str">
        <f aca="false">IF(F714=_xlfn.MINIFS($F$2:$F$948,$A$2:$A$948,$A714,$B$2:$B$948,$B714),"BEST","")</f>
        <v/>
      </c>
    </row>
    <row r="715" customFormat="false" ht="15" hidden="false" customHeight="false" outlineLevel="0" collapsed="false">
      <c r="A715" s="16" t="s">
        <v>51</v>
      </c>
      <c r="B715" s="17" t="n">
        <v>4</v>
      </c>
      <c r="C715" s="17" t="s">
        <v>70</v>
      </c>
      <c r="D715" s="16" t="s">
        <v>68</v>
      </c>
      <c r="E715" s="17" t="n">
        <v>1</v>
      </c>
      <c r="F715" s="26" t="n">
        <v>0.00229457315148978</v>
      </c>
      <c r="G715" s="17" t="n">
        <v>21</v>
      </c>
      <c r="H715" s="17" t="n">
        <v>1500</v>
      </c>
      <c r="I715" s="17"/>
      <c r="J715" s="17" t="n">
        <v>5</v>
      </c>
      <c r="K715" s="17"/>
      <c r="L715" s="17"/>
      <c r="M715" s="17" t="n">
        <v>2</v>
      </c>
      <c r="N715" s="27" t="str">
        <f aca="false">IF(F715=_xlfn.MINIFS($F$2:$F$948,$A$2:$A$948,$A715,$B$2:$B$948,$B715),"BEST","")</f>
        <v/>
      </c>
    </row>
    <row r="716" customFormat="false" ht="15" hidden="false" customHeight="false" outlineLevel="0" collapsed="false">
      <c r="A716" s="16" t="s">
        <v>51</v>
      </c>
      <c r="B716" s="17" t="n">
        <v>4</v>
      </c>
      <c r="C716" s="17" t="s">
        <v>70</v>
      </c>
      <c r="D716" s="16" t="s">
        <v>68</v>
      </c>
      <c r="E716" s="17" t="n">
        <v>2</v>
      </c>
      <c r="F716" s="26" t="n">
        <v>0.00229457315148978</v>
      </c>
      <c r="G716" s="17" t="n">
        <v>21</v>
      </c>
      <c r="H716" s="17" t="n">
        <v>1500</v>
      </c>
      <c r="I716" s="17"/>
      <c r="J716" s="17" t="n">
        <v>5</v>
      </c>
      <c r="K716" s="17"/>
      <c r="L716" s="17"/>
      <c r="M716" s="17" t="n">
        <v>2</v>
      </c>
      <c r="N716" s="27" t="str">
        <f aca="false">IF(F716=_xlfn.MINIFS($F$2:$F$948,$A$2:$A$948,$A716,$B$2:$B$948,$B716),"BEST","")</f>
        <v/>
      </c>
    </row>
    <row r="717" customFormat="false" ht="15" hidden="false" customHeight="false" outlineLevel="0" collapsed="false">
      <c r="A717" s="16" t="s">
        <v>51</v>
      </c>
      <c r="B717" s="17" t="n">
        <v>4</v>
      </c>
      <c r="C717" s="17" t="s">
        <v>70</v>
      </c>
      <c r="D717" s="16" t="s">
        <v>68</v>
      </c>
      <c r="E717" s="17" t="n">
        <v>3</v>
      </c>
      <c r="F717" s="26" t="n">
        <v>0.00229457315148978</v>
      </c>
      <c r="G717" s="17" t="n">
        <v>21</v>
      </c>
      <c r="H717" s="17" t="n">
        <v>1500</v>
      </c>
      <c r="I717" s="17"/>
      <c r="J717" s="17" t="n">
        <v>5</v>
      </c>
      <c r="K717" s="17"/>
      <c r="L717" s="17"/>
      <c r="M717" s="17" t="n">
        <v>2</v>
      </c>
      <c r="N717" s="27" t="str">
        <f aca="false">IF(F717=_xlfn.MINIFS($F$2:$F$948,$A$2:$A$948,$A717,$B$2:$B$948,$B717),"BEST","")</f>
        <v/>
      </c>
    </row>
    <row r="718" customFormat="false" ht="15" hidden="false" customHeight="false" outlineLevel="0" collapsed="false">
      <c r="A718" s="16" t="s">
        <v>51</v>
      </c>
      <c r="B718" s="17" t="n">
        <v>4</v>
      </c>
      <c r="C718" s="17" t="s">
        <v>70</v>
      </c>
      <c r="D718" s="16" t="s">
        <v>68</v>
      </c>
      <c r="E718" s="17" t="n">
        <v>4</v>
      </c>
      <c r="F718" s="26" t="n">
        <v>0.00229457315148978</v>
      </c>
      <c r="G718" s="17" t="n">
        <v>21</v>
      </c>
      <c r="H718" s="17" t="n">
        <v>1500</v>
      </c>
      <c r="I718" s="17"/>
      <c r="J718" s="17" t="n">
        <v>5</v>
      </c>
      <c r="K718" s="17"/>
      <c r="L718" s="17"/>
      <c r="M718" s="17" t="n">
        <v>2</v>
      </c>
      <c r="N718" s="27" t="str">
        <f aca="false">IF(F718=_xlfn.MINIFS($F$2:$F$948,$A$2:$A$948,$A718,$B$2:$B$948,$B718),"BEST","")</f>
        <v/>
      </c>
    </row>
    <row r="719" customFormat="false" ht="15" hidden="false" customHeight="false" outlineLevel="0" collapsed="false">
      <c r="A719" s="16" t="s">
        <v>51</v>
      </c>
      <c r="B719" s="17" t="n">
        <v>4</v>
      </c>
      <c r="C719" s="17" t="s">
        <v>70</v>
      </c>
      <c r="D719" s="16" t="s">
        <v>68</v>
      </c>
      <c r="E719" s="17" t="n">
        <v>5</v>
      </c>
      <c r="F719" s="26" t="n">
        <v>0.00229457315148978</v>
      </c>
      <c r="G719" s="17" t="n">
        <v>21</v>
      </c>
      <c r="H719" s="17" t="n">
        <v>1500</v>
      </c>
      <c r="I719" s="17"/>
      <c r="J719" s="17" t="n">
        <v>5</v>
      </c>
      <c r="K719" s="17"/>
      <c r="L719" s="17"/>
      <c r="M719" s="17" t="n">
        <v>2</v>
      </c>
      <c r="N719" s="27" t="str">
        <f aca="false">IF(F719=_xlfn.MINIFS($F$2:$F$948,$A$2:$A$948,$A719,$B$2:$B$948,$B719),"BEST","")</f>
        <v/>
      </c>
    </row>
    <row r="720" customFormat="false" ht="15" hidden="false" customHeight="false" outlineLevel="0" collapsed="false">
      <c r="A720" s="16" t="s">
        <v>51</v>
      </c>
      <c r="B720" s="17" t="n">
        <v>4</v>
      </c>
      <c r="C720" s="17" t="s">
        <v>70</v>
      </c>
      <c r="D720" s="16" t="s">
        <v>68</v>
      </c>
      <c r="E720" s="17" t="n">
        <v>6</v>
      </c>
      <c r="F720" s="26" t="n">
        <v>0.00229457315148978</v>
      </c>
      <c r="G720" s="17" t="n">
        <v>21</v>
      </c>
      <c r="H720" s="17" t="n">
        <v>1500</v>
      </c>
      <c r="I720" s="17"/>
      <c r="J720" s="17" t="n">
        <v>5</v>
      </c>
      <c r="K720" s="17"/>
      <c r="L720" s="17"/>
      <c r="M720" s="17" t="n">
        <v>2</v>
      </c>
      <c r="N720" s="27" t="str">
        <f aca="false">IF(F720=_xlfn.MINIFS($F$2:$F$948,$A$2:$A$948,$A720,$B$2:$B$948,$B720),"BEST","")</f>
        <v/>
      </c>
    </row>
    <row r="721" customFormat="false" ht="15" hidden="false" customHeight="false" outlineLevel="0" collapsed="false">
      <c r="A721" s="16" t="s">
        <v>51</v>
      </c>
      <c r="B721" s="17" t="n">
        <v>4</v>
      </c>
      <c r="C721" s="17" t="s">
        <v>70</v>
      </c>
      <c r="D721" s="16" t="s">
        <v>68</v>
      </c>
      <c r="E721" s="17" t="n">
        <v>7</v>
      </c>
      <c r="F721" s="26" t="n">
        <v>0.00229457315148978</v>
      </c>
      <c r="G721" s="17" t="n">
        <v>21</v>
      </c>
      <c r="H721" s="17" t="n">
        <v>1500</v>
      </c>
      <c r="I721" s="17"/>
      <c r="J721" s="17" t="n">
        <v>5</v>
      </c>
      <c r="K721" s="17"/>
      <c r="L721" s="17"/>
      <c r="M721" s="17" t="n">
        <v>2</v>
      </c>
      <c r="N721" s="27" t="str">
        <f aca="false">IF(F721=_xlfn.MINIFS($F$2:$F$948,$A$2:$A$948,$A721,$B$2:$B$948,$B721),"BEST","")</f>
        <v/>
      </c>
    </row>
    <row r="722" customFormat="false" ht="15" hidden="false" customHeight="false" outlineLevel="0" collapsed="false">
      <c r="A722" s="16" t="s">
        <v>51</v>
      </c>
      <c r="B722" s="17" t="n">
        <v>4</v>
      </c>
      <c r="C722" s="17" t="s">
        <v>70</v>
      </c>
      <c r="D722" s="16" t="s">
        <v>68</v>
      </c>
      <c r="E722" s="17" t="n">
        <v>8</v>
      </c>
      <c r="F722" s="26" t="n">
        <v>0.00229457315148978</v>
      </c>
      <c r="G722" s="17" t="n">
        <v>21</v>
      </c>
      <c r="H722" s="17" t="n">
        <v>1500</v>
      </c>
      <c r="I722" s="17"/>
      <c r="J722" s="17" t="n">
        <v>5</v>
      </c>
      <c r="K722" s="17"/>
      <c r="L722" s="17"/>
      <c r="M722" s="17" t="n">
        <v>2</v>
      </c>
      <c r="N722" s="27" t="str">
        <f aca="false">IF(F722=_xlfn.MINIFS($F$2:$F$948,$A$2:$A$948,$A722,$B$2:$B$948,$B722),"BEST","")</f>
        <v/>
      </c>
    </row>
    <row r="723" customFormat="false" ht="15" hidden="false" customHeight="false" outlineLevel="0" collapsed="false">
      <c r="A723" s="16" t="s">
        <v>51</v>
      </c>
      <c r="B723" s="17" t="n">
        <v>4</v>
      </c>
      <c r="C723" s="17" t="s">
        <v>70</v>
      </c>
      <c r="D723" s="16" t="s">
        <v>68</v>
      </c>
      <c r="E723" s="17" t="n">
        <v>9</v>
      </c>
      <c r="F723" s="26" t="n">
        <v>0.00229457315148978</v>
      </c>
      <c r="G723" s="17" t="n">
        <v>21</v>
      </c>
      <c r="H723" s="17" t="n">
        <v>1500</v>
      </c>
      <c r="I723" s="17"/>
      <c r="J723" s="17" t="n">
        <v>5</v>
      </c>
      <c r="K723" s="17"/>
      <c r="L723" s="17"/>
      <c r="M723" s="17" t="n">
        <v>2</v>
      </c>
      <c r="N723" s="27" t="str">
        <f aca="false">IF(F723=_xlfn.MINIFS($F$2:$F$948,$A$2:$A$948,$A723,$B$2:$B$948,$B723),"BEST","")</f>
        <v/>
      </c>
    </row>
    <row r="724" customFormat="false" ht="15" hidden="false" customHeight="false" outlineLevel="0" collapsed="false">
      <c r="A724" s="16" t="s">
        <v>51</v>
      </c>
      <c r="B724" s="17" t="n">
        <v>4</v>
      </c>
      <c r="C724" s="17" t="s">
        <v>70</v>
      </c>
      <c r="D724" s="16" t="s">
        <v>68</v>
      </c>
      <c r="E724" s="17" t="n">
        <v>10</v>
      </c>
      <c r="F724" s="26" t="n">
        <v>0.00229457315148978</v>
      </c>
      <c r="G724" s="17" t="n">
        <v>21</v>
      </c>
      <c r="H724" s="17" t="n">
        <v>1500</v>
      </c>
      <c r="I724" s="17"/>
      <c r="J724" s="17" t="n">
        <v>5</v>
      </c>
      <c r="K724" s="17"/>
      <c r="L724" s="17"/>
      <c r="M724" s="17" t="n">
        <v>2</v>
      </c>
      <c r="N724" s="27" t="str">
        <f aca="false">IF(F724=_xlfn.MINIFS($F$2:$F$948,$A$2:$A$948,$A724,$B$2:$B$948,$B724),"BEST","")</f>
        <v/>
      </c>
    </row>
    <row r="725" customFormat="false" ht="15" hidden="false" customHeight="false" outlineLevel="0" collapsed="false">
      <c r="A725" s="16" t="s">
        <v>51</v>
      </c>
      <c r="B725" s="17" t="n">
        <v>4</v>
      </c>
      <c r="C725" s="17" t="s">
        <v>70</v>
      </c>
      <c r="D725" s="16" t="s">
        <v>68</v>
      </c>
      <c r="E725" s="17" t="n">
        <v>11</v>
      </c>
      <c r="F725" s="26" t="n">
        <v>0.00229457315148978</v>
      </c>
      <c r="G725" s="17" t="n">
        <v>21</v>
      </c>
      <c r="H725" s="17" t="n">
        <v>1500</v>
      </c>
      <c r="I725" s="17"/>
      <c r="J725" s="17" t="n">
        <v>5</v>
      </c>
      <c r="K725" s="17"/>
      <c r="L725" s="17"/>
      <c r="M725" s="17" t="n">
        <v>2</v>
      </c>
      <c r="N725" s="27" t="str">
        <f aca="false">IF(F725=_xlfn.MINIFS($F$2:$F$948,$A$2:$A$948,$A725,$B$2:$B$948,$B725),"BEST","")</f>
        <v/>
      </c>
    </row>
    <row r="726" customFormat="false" ht="15" hidden="false" customHeight="false" outlineLevel="0" collapsed="false">
      <c r="A726" s="16" t="s">
        <v>51</v>
      </c>
      <c r="B726" s="17" t="n">
        <v>4</v>
      </c>
      <c r="C726" s="17" t="s">
        <v>70</v>
      </c>
      <c r="D726" s="16" t="s">
        <v>68</v>
      </c>
      <c r="E726" s="17" t="n">
        <v>12</v>
      </c>
      <c r="F726" s="26" t="n">
        <v>0.00229457315148978</v>
      </c>
      <c r="G726" s="17" t="n">
        <v>21</v>
      </c>
      <c r="H726" s="17" t="n">
        <v>1500</v>
      </c>
      <c r="I726" s="17"/>
      <c r="J726" s="17" t="n">
        <v>5</v>
      </c>
      <c r="K726" s="17"/>
      <c r="L726" s="17"/>
      <c r="M726" s="17" t="n">
        <v>2</v>
      </c>
      <c r="N726" s="27" t="str">
        <f aca="false">IF(F726=_xlfn.MINIFS($F$2:$F$948,$A$2:$A$948,$A726,$B$2:$B$948,$B726),"BEST","")</f>
        <v/>
      </c>
    </row>
    <row r="727" customFormat="false" ht="15" hidden="false" customHeight="false" outlineLevel="0" collapsed="false">
      <c r="A727" s="16" t="s">
        <v>51</v>
      </c>
      <c r="B727" s="17" t="n">
        <v>4</v>
      </c>
      <c r="C727" s="17" t="s">
        <v>70</v>
      </c>
      <c r="D727" s="16" t="s">
        <v>68</v>
      </c>
      <c r="E727" s="17" t="n">
        <v>13</v>
      </c>
      <c r="F727" s="26" t="n">
        <v>0.00229457315148978</v>
      </c>
      <c r="G727" s="17" t="n">
        <v>21</v>
      </c>
      <c r="H727" s="17" t="n">
        <v>1500</v>
      </c>
      <c r="I727" s="17"/>
      <c r="J727" s="17" t="n">
        <v>5</v>
      </c>
      <c r="K727" s="17"/>
      <c r="L727" s="17"/>
      <c r="M727" s="17" t="n">
        <v>2</v>
      </c>
      <c r="N727" s="27" t="str">
        <f aca="false">IF(F727=_xlfn.MINIFS($F$2:$F$948,$A$2:$A$948,$A727,$B$2:$B$948,$B727),"BEST","")</f>
        <v/>
      </c>
    </row>
    <row r="728" customFormat="false" ht="15" hidden="false" customHeight="false" outlineLevel="0" collapsed="false">
      <c r="A728" s="16" t="s">
        <v>51</v>
      </c>
      <c r="B728" s="17" t="n">
        <v>4</v>
      </c>
      <c r="C728" s="17" t="s">
        <v>70</v>
      </c>
      <c r="D728" s="16" t="s">
        <v>68</v>
      </c>
      <c r="E728" s="17" t="n">
        <v>14</v>
      </c>
      <c r="F728" s="26" t="n">
        <v>0.00229457315148978</v>
      </c>
      <c r="G728" s="17" t="n">
        <v>21</v>
      </c>
      <c r="H728" s="17" t="n">
        <v>1500</v>
      </c>
      <c r="I728" s="17"/>
      <c r="J728" s="17" t="n">
        <v>5</v>
      </c>
      <c r="K728" s="17"/>
      <c r="L728" s="17"/>
      <c r="M728" s="17" t="n">
        <v>2</v>
      </c>
      <c r="N728" s="27" t="str">
        <f aca="false">IF(F728=_xlfn.MINIFS($F$2:$F$948,$A$2:$A$948,$A728,$B$2:$B$948,$B728),"BEST","")</f>
        <v/>
      </c>
    </row>
    <row r="729" customFormat="false" ht="15" hidden="false" customHeight="false" outlineLevel="0" collapsed="false">
      <c r="A729" s="16" t="s">
        <v>51</v>
      </c>
      <c r="B729" s="17" t="n">
        <v>4</v>
      </c>
      <c r="C729" s="17" t="s">
        <v>70</v>
      </c>
      <c r="D729" s="16" t="s">
        <v>68</v>
      </c>
      <c r="E729" s="17" t="n">
        <v>15</v>
      </c>
      <c r="F729" s="26" t="n">
        <v>0.00229457315148978</v>
      </c>
      <c r="G729" s="17" t="n">
        <v>21</v>
      </c>
      <c r="H729" s="17" t="n">
        <v>1500</v>
      </c>
      <c r="I729" s="17"/>
      <c r="J729" s="17" t="n">
        <v>5</v>
      </c>
      <c r="K729" s="17"/>
      <c r="L729" s="17"/>
      <c r="M729" s="17" t="n">
        <v>2</v>
      </c>
      <c r="N729" s="27" t="str">
        <f aca="false">IF(F729=_xlfn.MINIFS($F$2:$F$948,$A$2:$A$948,$A729,$B$2:$B$948,$B729),"BEST","")</f>
        <v/>
      </c>
    </row>
    <row r="730" customFormat="false" ht="15" hidden="false" customHeight="false" outlineLevel="0" collapsed="false">
      <c r="A730" s="16" t="s">
        <v>51</v>
      </c>
      <c r="B730" s="17" t="n">
        <v>4</v>
      </c>
      <c r="C730" s="17" t="s">
        <v>70</v>
      </c>
      <c r="D730" s="16" t="s">
        <v>68</v>
      </c>
      <c r="E730" s="17" t="n">
        <v>16</v>
      </c>
      <c r="F730" s="26" t="n">
        <v>0.00229457315148978</v>
      </c>
      <c r="G730" s="17" t="n">
        <v>21</v>
      </c>
      <c r="H730" s="17" t="n">
        <v>1500</v>
      </c>
      <c r="I730" s="17"/>
      <c r="J730" s="17" t="n">
        <v>5</v>
      </c>
      <c r="K730" s="17"/>
      <c r="L730" s="17"/>
      <c r="M730" s="17" t="n">
        <v>2</v>
      </c>
      <c r="N730" s="27" t="str">
        <f aca="false">IF(F730=_xlfn.MINIFS($F$2:$F$948,$A$2:$A$948,$A730,$B$2:$B$948,$B730),"BEST","")</f>
        <v/>
      </c>
    </row>
    <row r="731" customFormat="false" ht="15" hidden="false" customHeight="false" outlineLevel="0" collapsed="false">
      <c r="A731" s="16" t="s">
        <v>51</v>
      </c>
      <c r="B731" s="17" t="n">
        <v>4</v>
      </c>
      <c r="C731" s="17" t="s">
        <v>70</v>
      </c>
      <c r="D731" s="16" t="s">
        <v>68</v>
      </c>
      <c r="E731" s="17" t="n">
        <v>17</v>
      </c>
      <c r="F731" s="26" t="n">
        <v>0.00229457315148978</v>
      </c>
      <c r="G731" s="17" t="n">
        <v>21</v>
      </c>
      <c r="H731" s="17" t="n">
        <v>1500</v>
      </c>
      <c r="I731" s="17"/>
      <c r="J731" s="17" t="n">
        <v>5</v>
      </c>
      <c r="K731" s="17"/>
      <c r="L731" s="17"/>
      <c r="M731" s="17" t="n">
        <v>2</v>
      </c>
      <c r="N731" s="27" t="str">
        <f aca="false">IF(F731=_xlfn.MINIFS($F$2:$F$948,$A$2:$A$948,$A731,$B$2:$B$948,$B731),"BEST","")</f>
        <v/>
      </c>
    </row>
    <row r="732" customFormat="false" ht="15" hidden="false" customHeight="false" outlineLevel="0" collapsed="false">
      <c r="A732" s="16" t="s">
        <v>51</v>
      </c>
      <c r="B732" s="17" t="n">
        <v>4</v>
      </c>
      <c r="C732" s="17" t="s">
        <v>70</v>
      </c>
      <c r="D732" s="16" t="s">
        <v>68</v>
      </c>
      <c r="E732" s="17" t="n">
        <v>18</v>
      </c>
      <c r="F732" s="26" t="n">
        <v>0.00229457315148978</v>
      </c>
      <c r="G732" s="17" t="n">
        <v>21</v>
      </c>
      <c r="H732" s="17" t="n">
        <v>1500</v>
      </c>
      <c r="I732" s="17"/>
      <c r="J732" s="17" t="n">
        <v>5</v>
      </c>
      <c r="K732" s="17"/>
      <c r="L732" s="17"/>
      <c r="M732" s="17" t="n">
        <v>2</v>
      </c>
      <c r="N732" s="27" t="str">
        <f aca="false">IF(F732=_xlfn.MINIFS($F$2:$F$948,$A$2:$A$948,$A732,$B$2:$B$948,$B732),"BEST","")</f>
        <v/>
      </c>
    </row>
    <row r="733" customFormat="false" ht="15" hidden="false" customHeight="false" outlineLevel="0" collapsed="false">
      <c r="A733" s="16" t="s">
        <v>51</v>
      </c>
      <c r="B733" s="17" t="n">
        <v>4</v>
      </c>
      <c r="C733" s="17" t="s">
        <v>70</v>
      </c>
      <c r="D733" s="16" t="s">
        <v>68</v>
      </c>
      <c r="E733" s="17" t="n">
        <v>19</v>
      </c>
      <c r="F733" s="26" t="n">
        <v>0.00229457315148978</v>
      </c>
      <c r="G733" s="17" t="n">
        <v>21</v>
      </c>
      <c r="H733" s="17" t="n">
        <v>1500</v>
      </c>
      <c r="I733" s="17"/>
      <c r="J733" s="17" t="n">
        <v>5</v>
      </c>
      <c r="K733" s="17"/>
      <c r="L733" s="17"/>
      <c r="M733" s="17" t="n">
        <v>2</v>
      </c>
      <c r="N733" s="27" t="str">
        <f aca="false">IF(F733=_xlfn.MINIFS($F$2:$F$948,$A$2:$A$948,$A733,$B$2:$B$948,$B733),"BEST","")</f>
        <v/>
      </c>
    </row>
    <row r="734" customFormat="false" ht="15" hidden="false" customHeight="false" outlineLevel="0" collapsed="false">
      <c r="A734" s="22" t="s">
        <v>51</v>
      </c>
      <c r="B734" s="23" t="n">
        <v>4</v>
      </c>
      <c r="C734" s="23" t="s">
        <v>71</v>
      </c>
      <c r="D734" s="22" t="s">
        <v>72</v>
      </c>
      <c r="E734" s="23" t="n">
        <v>0</v>
      </c>
      <c r="F734" s="28" t="n">
        <v>0.00468775290946863</v>
      </c>
      <c r="G734" s="23" t="n">
        <v>64</v>
      </c>
      <c r="H734" s="23" t="n">
        <v>1500</v>
      </c>
      <c r="I734" s="23" t="n">
        <v>4</v>
      </c>
      <c r="J734" s="23" t="n">
        <v>5</v>
      </c>
      <c r="K734" s="22" t="s">
        <v>73</v>
      </c>
      <c r="L734" s="22" t="s">
        <v>74</v>
      </c>
      <c r="M734" s="23"/>
      <c r="N734" s="27" t="str">
        <f aca="false">IF(F734=_xlfn.MINIFS($F$2:$F$948,$A$2:$A$948,$A734,$B$2:$B$948,$B734),"BEST","")</f>
        <v/>
      </c>
    </row>
    <row r="735" customFormat="false" ht="15" hidden="false" customHeight="false" outlineLevel="0" collapsed="false">
      <c r="A735" s="22" t="s">
        <v>51</v>
      </c>
      <c r="B735" s="23" t="n">
        <v>4</v>
      </c>
      <c r="C735" s="23" t="s">
        <v>71</v>
      </c>
      <c r="D735" s="22" t="s">
        <v>72</v>
      </c>
      <c r="E735" s="23" t="n">
        <v>1</v>
      </c>
      <c r="F735" s="28" t="n">
        <v>0.00496750722907255</v>
      </c>
      <c r="G735" s="23" t="n">
        <v>64</v>
      </c>
      <c r="H735" s="23" t="n">
        <v>1500</v>
      </c>
      <c r="I735" s="23" t="n">
        <v>4</v>
      </c>
      <c r="J735" s="23" t="n">
        <v>5</v>
      </c>
      <c r="K735" s="22" t="s">
        <v>73</v>
      </c>
      <c r="L735" s="22" t="s">
        <v>74</v>
      </c>
      <c r="M735" s="23"/>
      <c r="N735" s="27" t="str">
        <f aca="false">IF(F735=_xlfn.MINIFS($F$2:$F$948,$A$2:$A$948,$A735,$B$2:$B$948,$B735),"BEST","")</f>
        <v/>
      </c>
    </row>
    <row r="736" customFormat="false" ht="15" hidden="false" customHeight="false" outlineLevel="0" collapsed="false">
      <c r="A736" s="22" t="s">
        <v>51</v>
      </c>
      <c r="B736" s="23" t="n">
        <v>4</v>
      </c>
      <c r="C736" s="23" t="s">
        <v>71</v>
      </c>
      <c r="D736" s="22" t="s">
        <v>72</v>
      </c>
      <c r="E736" s="23" t="n">
        <v>2</v>
      </c>
      <c r="F736" s="28" t="n">
        <v>0.00450861444543425</v>
      </c>
      <c r="G736" s="23" t="n">
        <v>64</v>
      </c>
      <c r="H736" s="23" t="n">
        <v>1500</v>
      </c>
      <c r="I736" s="23" t="n">
        <v>4</v>
      </c>
      <c r="J736" s="23" t="n">
        <v>5</v>
      </c>
      <c r="K736" s="22" t="s">
        <v>73</v>
      </c>
      <c r="L736" s="22" t="s">
        <v>74</v>
      </c>
      <c r="M736" s="23"/>
      <c r="N736" s="27" t="str">
        <f aca="false">IF(F736=_xlfn.MINIFS($F$2:$F$948,$A$2:$A$948,$A736,$B$2:$B$948,$B736),"BEST","")</f>
        <v/>
      </c>
    </row>
    <row r="737" customFormat="false" ht="15" hidden="false" customHeight="false" outlineLevel="0" collapsed="false">
      <c r="A737" s="22" t="s">
        <v>51</v>
      </c>
      <c r="B737" s="23" t="n">
        <v>4</v>
      </c>
      <c r="C737" s="23" t="s">
        <v>71</v>
      </c>
      <c r="D737" s="22" t="s">
        <v>72</v>
      </c>
      <c r="E737" s="23" t="n">
        <v>3</v>
      </c>
      <c r="F737" s="28" t="n">
        <v>0.00482885181005139</v>
      </c>
      <c r="G737" s="23" t="n">
        <v>64</v>
      </c>
      <c r="H737" s="23" t="n">
        <v>1500</v>
      </c>
      <c r="I737" s="23" t="n">
        <v>4</v>
      </c>
      <c r="J737" s="23" t="n">
        <v>5</v>
      </c>
      <c r="K737" s="22" t="s">
        <v>73</v>
      </c>
      <c r="L737" s="22" t="s">
        <v>74</v>
      </c>
      <c r="M737" s="23"/>
      <c r="N737" s="27" t="str">
        <f aca="false">IF(F737=_xlfn.MINIFS($F$2:$F$948,$A$2:$A$948,$A737,$B$2:$B$948,$B737),"BEST","")</f>
        <v/>
      </c>
    </row>
    <row r="738" customFormat="false" ht="15" hidden="false" customHeight="false" outlineLevel="0" collapsed="false">
      <c r="A738" s="22" t="s">
        <v>51</v>
      </c>
      <c r="B738" s="23" t="n">
        <v>4</v>
      </c>
      <c r="C738" s="23" t="s">
        <v>71</v>
      </c>
      <c r="D738" s="22" t="s">
        <v>72</v>
      </c>
      <c r="E738" s="23" t="n">
        <v>4</v>
      </c>
      <c r="F738" s="28" t="n">
        <v>0.00469106362912874</v>
      </c>
      <c r="G738" s="23" t="n">
        <v>64</v>
      </c>
      <c r="H738" s="23" t="n">
        <v>1500</v>
      </c>
      <c r="I738" s="23" t="n">
        <v>4</v>
      </c>
      <c r="J738" s="23" t="n">
        <v>5</v>
      </c>
      <c r="K738" s="22" t="s">
        <v>73</v>
      </c>
      <c r="L738" s="22" t="s">
        <v>74</v>
      </c>
      <c r="M738" s="23"/>
      <c r="N738" s="27" t="str">
        <f aca="false">IF(F738=_xlfn.MINIFS($F$2:$F$948,$A$2:$A$948,$A738,$B$2:$B$948,$B738),"BEST","")</f>
        <v/>
      </c>
    </row>
    <row r="739" customFormat="false" ht="15" hidden="false" customHeight="false" outlineLevel="0" collapsed="false">
      <c r="A739" s="22" t="s">
        <v>51</v>
      </c>
      <c r="B739" s="23" t="n">
        <v>4</v>
      </c>
      <c r="C739" s="23" t="s">
        <v>71</v>
      </c>
      <c r="D739" s="22" t="s">
        <v>72</v>
      </c>
      <c r="E739" s="23" t="n">
        <v>5</v>
      </c>
      <c r="F739" s="28" t="n">
        <v>0.00458342455239669</v>
      </c>
      <c r="G739" s="23" t="n">
        <v>64</v>
      </c>
      <c r="H739" s="23" t="n">
        <v>1500</v>
      </c>
      <c r="I739" s="23" t="n">
        <v>4</v>
      </c>
      <c r="J739" s="23" t="n">
        <v>5</v>
      </c>
      <c r="K739" s="22" t="s">
        <v>73</v>
      </c>
      <c r="L739" s="22" t="s">
        <v>74</v>
      </c>
      <c r="M739" s="23"/>
      <c r="N739" s="27" t="str">
        <f aca="false">IF(F739=_xlfn.MINIFS($F$2:$F$948,$A$2:$A$948,$A739,$B$2:$B$948,$B739),"BEST","")</f>
        <v/>
      </c>
    </row>
    <row r="740" customFormat="false" ht="15" hidden="false" customHeight="false" outlineLevel="0" collapsed="false">
      <c r="A740" s="22" t="s">
        <v>51</v>
      </c>
      <c r="B740" s="23" t="n">
        <v>4</v>
      </c>
      <c r="C740" s="23" t="s">
        <v>71</v>
      </c>
      <c r="D740" s="22" t="s">
        <v>72</v>
      </c>
      <c r="E740" s="23" t="n">
        <v>6</v>
      </c>
      <c r="F740" s="28" t="n">
        <v>0.00429008225696989</v>
      </c>
      <c r="G740" s="23" t="n">
        <v>64</v>
      </c>
      <c r="H740" s="23" t="n">
        <v>1500</v>
      </c>
      <c r="I740" s="23" t="n">
        <v>4</v>
      </c>
      <c r="J740" s="23" t="n">
        <v>5</v>
      </c>
      <c r="K740" s="22" t="s">
        <v>73</v>
      </c>
      <c r="L740" s="22" t="s">
        <v>74</v>
      </c>
      <c r="M740" s="23"/>
      <c r="N740" s="27" t="str">
        <f aca="false">IF(F740=_xlfn.MINIFS($F$2:$F$948,$A$2:$A$948,$A740,$B$2:$B$948,$B740),"BEST","")</f>
        <v/>
      </c>
    </row>
    <row r="741" customFormat="false" ht="15" hidden="false" customHeight="false" outlineLevel="0" collapsed="false">
      <c r="A741" s="22" t="s">
        <v>51</v>
      </c>
      <c r="B741" s="23" t="n">
        <v>4</v>
      </c>
      <c r="C741" s="23" t="s">
        <v>71</v>
      </c>
      <c r="D741" s="22" t="s">
        <v>72</v>
      </c>
      <c r="E741" s="23" t="n">
        <v>7</v>
      </c>
      <c r="F741" s="28" t="n">
        <v>0.00445687735453217</v>
      </c>
      <c r="G741" s="23" t="n">
        <v>64</v>
      </c>
      <c r="H741" s="23" t="n">
        <v>1500</v>
      </c>
      <c r="I741" s="23" t="n">
        <v>4</v>
      </c>
      <c r="J741" s="23" t="n">
        <v>5</v>
      </c>
      <c r="K741" s="22" t="s">
        <v>73</v>
      </c>
      <c r="L741" s="22" t="s">
        <v>74</v>
      </c>
      <c r="M741" s="23"/>
      <c r="N741" s="27" t="str">
        <f aca="false">IF(F741=_xlfn.MINIFS($F$2:$F$948,$A$2:$A$948,$A741,$B$2:$B$948,$B741),"BEST","")</f>
        <v/>
      </c>
    </row>
    <row r="742" customFormat="false" ht="15" hidden="false" customHeight="false" outlineLevel="0" collapsed="false">
      <c r="A742" s="22" t="s">
        <v>51</v>
      </c>
      <c r="B742" s="23" t="n">
        <v>4</v>
      </c>
      <c r="C742" s="23" t="s">
        <v>71</v>
      </c>
      <c r="D742" s="22" t="s">
        <v>72</v>
      </c>
      <c r="E742" s="23" t="n">
        <v>8</v>
      </c>
      <c r="F742" s="28" t="n">
        <v>0.00451900886914106</v>
      </c>
      <c r="G742" s="23" t="n">
        <v>64</v>
      </c>
      <c r="H742" s="23" t="n">
        <v>1500</v>
      </c>
      <c r="I742" s="23" t="n">
        <v>4</v>
      </c>
      <c r="J742" s="23" t="n">
        <v>5</v>
      </c>
      <c r="K742" s="22" t="s">
        <v>73</v>
      </c>
      <c r="L742" s="22" t="s">
        <v>74</v>
      </c>
      <c r="M742" s="23"/>
      <c r="N742" s="27" t="str">
        <f aca="false">IF(F742=_xlfn.MINIFS($F$2:$F$948,$A$2:$A$948,$A742,$B$2:$B$948,$B742),"BEST","")</f>
        <v/>
      </c>
    </row>
    <row r="743" customFormat="false" ht="15" hidden="false" customHeight="false" outlineLevel="0" collapsed="false">
      <c r="A743" s="22" t="s">
        <v>51</v>
      </c>
      <c r="B743" s="23" t="n">
        <v>4</v>
      </c>
      <c r="C743" s="23" t="s">
        <v>71</v>
      </c>
      <c r="D743" s="22" t="s">
        <v>72</v>
      </c>
      <c r="E743" s="23" t="n">
        <v>9</v>
      </c>
      <c r="F743" s="28" t="n">
        <v>0.00460058024387289</v>
      </c>
      <c r="G743" s="23" t="n">
        <v>64</v>
      </c>
      <c r="H743" s="23" t="n">
        <v>1500</v>
      </c>
      <c r="I743" s="23" t="n">
        <v>4</v>
      </c>
      <c r="J743" s="23" t="n">
        <v>5</v>
      </c>
      <c r="K743" s="22" t="s">
        <v>73</v>
      </c>
      <c r="L743" s="22" t="s">
        <v>74</v>
      </c>
      <c r="M743" s="23"/>
      <c r="N743" s="27" t="str">
        <f aca="false">IF(F743=_xlfn.MINIFS($F$2:$F$948,$A$2:$A$948,$A743,$B$2:$B$948,$B743),"BEST","")</f>
        <v/>
      </c>
    </row>
    <row r="744" customFormat="false" ht="15" hidden="false" customHeight="false" outlineLevel="0" collapsed="false">
      <c r="A744" s="16" t="s">
        <v>51</v>
      </c>
      <c r="B744" s="17" t="n">
        <v>6</v>
      </c>
      <c r="C744" s="17" t="s">
        <v>67</v>
      </c>
      <c r="D744" s="16" t="s">
        <v>68</v>
      </c>
      <c r="E744" s="17" t="n">
        <v>0</v>
      </c>
      <c r="F744" s="26" t="n">
        <v>0.00198945752981149</v>
      </c>
      <c r="G744" s="17" t="n">
        <v>96</v>
      </c>
      <c r="H744" s="17" t="n">
        <v>1500</v>
      </c>
      <c r="I744" s="17"/>
      <c r="J744" s="17" t="n">
        <v>5</v>
      </c>
      <c r="K744" s="17"/>
      <c r="L744" s="17"/>
      <c r="M744" s="17"/>
      <c r="N744" s="27" t="str">
        <f aca="false">IF(F744=_xlfn.MINIFS($F$2:$F$948,$A$2:$A$948,$A744,$B$2:$B$948,$B744),"BEST","")</f>
        <v/>
      </c>
    </row>
    <row r="745" customFormat="false" ht="15" hidden="false" customHeight="false" outlineLevel="0" collapsed="false">
      <c r="A745" s="16" t="s">
        <v>51</v>
      </c>
      <c r="B745" s="17" t="n">
        <v>6</v>
      </c>
      <c r="C745" s="17" t="s">
        <v>67</v>
      </c>
      <c r="D745" s="16" t="s">
        <v>68</v>
      </c>
      <c r="E745" s="17" t="n">
        <v>1</v>
      </c>
      <c r="F745" s="26" t="n">
        <v>0.00201004352198276</v>
      </c>
      <c r="G745" s="17" t="n">
        <v>96</v>
      </c>
      <c r="H745" s="17" t="n">
        <v>1500</v>
      </c>
      <c r="I745" s="17"/>
      <c r="J745" s="17" t="n">
        <v>5</v>
      </c>
      <c r="K745" s="17"/>
      <c r="L745" s="17"/>
      <c r="M745" s="17"/>
      <c r="N745" s="27" t="str">
        <f aca="false">IF(F745=_xlfn.MINIFS($F$2:$F$948,$A$2:$A$948,$A745,$B$2:$B$948,$B745),"BEST","")</f>
        <v/>
      </c>
    </row>
    <row r="746" customFormat="false" ht="15" hidden="false" customHeight="false" outlineLevel="0" collapsed="false">
      <c r="A746" s="16" t="s">
        <v>51</v>
      </c>
      <c r="B746" s="17" t="n">
        <v>6</v>
      </c>
      <c r="C746" s="17" t="s">
        <v>67</v>
      </c>
      <c r="D746" s="16" t="s">
        <v>68</v>
      </c>
      <c r="E746" s="17" t="n">
        <v>2</v>
      </c>
      <c r="F746" s="26" t="n">
        <v>0.00199022161217578</v>
      </c>
      <c r="G746" s="17" t="n">
        <v>96</v>
      </c>
      <c r="H746" s="17" t="n">
        <v>1500</v>
      </c>
      <c r="I746" s="17"/>
      <c r="J746" s="17" t="n">
        <v>5</v>
      </c>
      <c r="K746" s="17"/>
      <c r="L746" s="17"/>
      <c r="M746" s="17"/>
      <c r="N746" s="27" t="str">
        <f aca="false">IF(F746=_xlfn.MINIFS($F$2:$F$948,$A$2:$A$948,$A746,$B$2:$B$948,$B746),"BEST","")</f>
        <v/>
      </c>
    </row>
    <row r="747" customFormat="false" ht="15" hidden="false" customHeight="false" outlineLevel="0" collapsed="false">
      <c r="A747" s="16" t="s">
        <v>51</v>
      </c>
      <c r="B747" s="17" t="n">
        <v>6</v>
      </c>
      <c r="C747" s="17" t="s">
        <v>67</v>
      </c>
      <c r="D747" s="16" t="s">
        <v>68</v>
      </c>
      <c r="E747" s="17" t="n">
        <v>3</v>
      </c>
      <c r="F747" s="26" t="n">
        <v>0.00204128435230035</v>
      </c>
      <c r="G747" s="17" t="n">
        <v>96</v>
      </c>
      <c r="H747" s="17" t="n">
        <v>1500</v>
      </c>
      <c r="I747" s="17"/>
      <c r="J747" s="17" t="n">
        <v>5</v>
      </c>
      <c r="K747" s="17"/>
      <c r="L747" s="17"/>
      <c r="M747" s="17"/>
      <c r="N747" s="27" t="str">
        <f aca="false">IF(F747=_xlfn.MINIFS($F$2:$F$948,$A$2:$A$948,$A747,$B$2:$B$948,$B747),"BEST","")</f>
        <v/>
      </c>
    </row>
    <row r="748" customFormat="false" ht="15" hidden="false" customHeight="false" outlineLevel="0" collapsed="false">
      <c r="A748" s="16" t="s">
        <v>51</v>
      </c>
      <c r="B748" s="17" t="n">
        <v>6</v>
      </c>
      <c r="C748" s="17" t="s">
        <v>67</v>
      </c>
      <c r="D748" s="16" t="s">
        <v>68</v>
      </c>
      <c r="E748" s="17" t="n">
        <v>4</v>
      </c>
      <c r="F748" s="26" t="n">
        <v>0.00190409500452525</v>
      </c>
      <c r="G748" s="17" t="n">
        <v>96</v>
      </c>
      <c r="H748" s="17" t="n">
        <v>1500</v>
      </c>
      <c r="I748" s="17"/>
      <c r="J748" s="17" t="n">
        <v>5</v>
      </c>
      <c r="K748" s="17"/>
      <c r="L748" s="17"/>
      <c r="M748" s="17"/>
      <c r="N748" s="27" t="str">
        <f aca="false">IF(F748=_xlfn.MINIFS($F$2:$F$948,$A$2:$A$948,$A748,$B$2:$B$948,$B748),"BEST","")</f>
        <v>BEST</v>
      </c>
    </row>
    <row r="749" customFormat="false" ht="15" hidden="false" customHeight="false" outlineLevel="0" collapsed="false">
      <c r="A749" s="16" t="s">
        <v>51</v>
      </c>
      <c r="B749" s="17" t="n">
        <v>6</v>
      </c>
      <c r="C749" s="17" t="s">
        <v>67</v>
      </c>
      <c r="D749" s="16" t="s">
        <v>68</v>
      </c>
      <c r="E749" s="17" t="n">
        <v>5</v>
      </c>
      <c r="F749" s="26" t="n">
        <v>0.00190882533113348</v>
      </c>
      <c r="G749" s="17" t="n">
        <v>96</v>
      </c>
      <c r="H749" s="17" t="n">
        <v>1500</v>
      </c>
      <c r="I749" s="17"/>
      <c r="J749" s="17" t="n">
        <v>5</v>
      </c>
      <c r="K749" s="17"/>
      <c r="L749" s="17"/>
      <c r="M749" s="17"/>
      <c r="N749" s="27" t="str">
        <f aca="false">IF(F749=_xlfn.MINIFS($F$2:$F$948,$A$2:$A$948,$A749,$B$2:$B$948,$B749),"BEST","")</f>
        <v/>
      </c>
    </row>
    <row r="750" customFormat="false" ht="15" hidden="false" customHeight="false" outlineLevel="0" collapsed="false">
      <c r="A750" s="16" t="s">
        <v>51</v>
      </c>
      <c r="B750" s="17" t="n">
        <v>6</v>
      </c>
      <c r="C750" s="17" t="s">
        <v>67</v>
      </c>
      <c r="D750" s="16" t="s">
        <v>68</v>
      </c>
      <c r="E750" s="17" t="n">
        <v>6</v>
      </c>
      <c r="F750" s="26" t="n">
        <v>0.00191725367045878</v>
      </c>
      <c r="G750" s="17" t="n">
        <v>96</v>
      </c>
      <c r="H750" s="17" t="n">
        <v>1500</v>
      </c>
      <c r="I750" s="17"/>
      <c r="J750" s="17" t="n">
        <v>5</v>
      </c>
      <c r="K750" s="17"/>
      <c r="L750" s="17"/>
      <c r="M750" s="17"/>
      <c r="N750" s="27" t="str">
        <f aca="false">IF(F750=_xlfn.MINIFS($F$2:$F$948,$A$2:$A$948,$A750,$B$2:$B$948,$B750),"BEST","")</f>
        <v/>
      </c>
    </row>
    <row r="751" customFormat="false" ht="15" hidden="false" customHeight="false" outlineLevel="0" collapsed="false">
      <c r="A751" s="16" t="s">
        <v>51</v>
      </c>
      <c r="B751" s="17" t="n">
        <v>6</v>
      </c>
      <c r="C751" s="17" t="s">
        <v>67</v>
      </c>
      <c r="D751" s="16" t="s">
        <v>68</v>
      </c>
      <c r="E751" s="17" t="n">
        <v>7</v>
      </c>
      <c r="F751" s="26" t="n">
        <v>0.001976384591472</v>
      </c>
      <c r="G751" s="17" t="n">
        <v>96</v>
      </c>
      <c r="H751" s="17" t="n">
        <v>1500</v>
      </c>
      <c r="I751" s="17"/>
      <c r="J751" s="17" t="n">
        <v>5</v>
      </c>
      <c r="K751" s="17"/>
      <c r="L751" s="17"/>
      <c r="M751" s="17"/>
      <c r="N751" s="27" t="str">
        <f aca="false">IF(F751=_xlfn.MINIFS($F$2:$F$948,$A$2:$A$948,$A751,$B$2:$B$948,$B751),"BEST","")</f>
        <v/>
      </c>
    </row>
    <row r="752" customFormat="false" ht="15" hidden="false" customHeight="false" outlineLevel="0" collapsed="false">
      <c r="A752" s="16" t="s">
        <v>51</v>
      </c>
      <c r="B752" s="17" t="n">
        <v>6</v>
      </c>
      <c r="C752" s="17" t="s">
        <v>67</v>
      </c>
      <c r="D752" s="16" t="s">
        <v>68</v>
      </c>
      <c r="E752" s="17" t="n">
        <v>8</v>
      </c>
      <c r="F752" s="26" t="n">
        <v>0.0020009463122405</v>
      </c>
      <c r="G752" s="17" t="n">
        <v>96</v>
      </c>
      <c r="H752" s="17" t="n">
        <v>1500</v>
      </c>
      <c r="I752" s="17"/>
      <c r="J752" s="17" t="n">
        <v>5</v>
      </c>
      <c r="K752" s="17"/>
      <c r="L752" s="17"/>
      <c r="M752" s="17"/>
      <c r="N752" s="27" t="str">
        <f aca="false">IF(F752=_xlfn.MINIFS($F$2:$F$948,$A$2:$A$948,$A752,$B$2:$B$948,$B752),"BEST","")</f>
        <v/>
      </c>
    </row>
    <row r="753" customFormat="false" ht="15" hidden="false" customHeight="false" outlineLevel="0" collapsed="false">
      <c r="A753" s="16" t="s">
        <v>51</v>
      </c>
      <c r="B753" s="17" t="n">
        <v>6</v>
      </c>
      <c r="C753" s="17" t="s">
        <v>67</v>
      </c>
      <c r="D753" s="16" t="s">
        <v>68</v>
      </c>
      <c r="E753" s="17" t="n">
        <v>9</v>
      </c>
      <c r="F753" s="26" t="n">
        <v>0.00193177645915953</v>
      </c>
      <c r="G753" s="17" t="n">
        <v>96</v>
      </c>
      <c r="H753" s="17" t="n">
        <v>1500</v>
      </c>
      <c r="I753" s="17"/>
      <c r="J753" s="17" t="n">
        <v>5</v>
      </c>
      <c r="K753" s="17"/>
      <c r="L753" s="17"/>
      <c r="M753" s="17"/>
      <c r="N753" s="27" t="str">
        <f aca="false">IF(F753=_xlfn.MINIFS($F$2:$F$948,$A$2:$A$948,$A753,$B$2:$B$948,$B753),"BEST","")</f>
        <v/>
      </c>
    </row>
    <row r="754" customFormat="false" ht="15" hidden="false" customHeight="false" outlineLevel="0" collapsed="false">
      <c r="A754" s="16" t="s">
        <v>51</v>
      </c>
      <c r="B754" s="17" t="n">
        <v>6</v>
      </c>
      <c r="C754" s="17" t="s">
        <v>67</v>
      </c>
      <c r="D754" s="16" t="s">
        <v>68</v>
      </c>
      <c r="E754" s="17" t="n">
        <v>10</v>
      </c>
      <c r="F754" s="26" t="n">
        <v>0.00195816378769462</v>
      </c>
      <c r="G754" s="17" t="n">
        <v>96</v>
      </c>
      <c r="H754" s="17" t="n">
        <v>1500</v>
      </c>
      <c r="I754" s="17"/>
      <c r="J754" s="17" t="n">
        <v>5</v>
      </c>
      <c r="K754" s="17"/>
      <c r="L754" s="17"/>
      <c r="M754" s="17"/>
      <c r="N754" s="27" t="str">
        <f aca="false">IF(F754=_xlfn.MINIFS($F$2:$F$948,$A$2:$A$948,$A754,$B$2:$B$948,$B754),"BEST","")</f>
        <v/>
      </c>
    </row>
    <row r="755" customFormat="false" ht="15" hidden="false" customHeight="false" outlineLevel="0" collapsed="false">
      <c r="A755" s="16" t="s">
        <v>51</v>
      </c>
      <c r="B755" s="17" t="n">
        <v>6</v>
      </c>
      <c r="C755" s="17" t="s">
        <v>67</v>
      </c>
      <c r="D755" s="16" t="s">
        <v>68</v>
      </c>
      <c r="E755" s="17" t="n">
        <v>11</v>
      </c>
      <c r="F755" s="26" t="n">
        <v>0.00191608387495239</v>
      </c>
      <c r="G755" s="17" t="n">
        <v>96</v>
      </c>
      <c r="H755" s="17" t="n">
        <v>1500</v>
      </c>
      <c r="I755" s="17"/>
      <c r="J755" s="17" t="n">
        <v>5</v>
      </c>
      <c r="K755" s="17"/>
      <c r="L755" s="17"/>
      <c r="M755" s="17"/>
      <c r="N755" s="27" t="str">
        <f aca="false">IF(F755=_xlfn.MINIFS($F$2:$F$948,$A$2:$A$948,$A755,$B$2:$B$948,$B755),"BEST","")</f>
        <v/>
      </c>
    </row>
    <row r="756" customFormat="false" ht="15" hidden="false" customHeight="false" outlineLevel="0" collapsed="false">
      <c r="A756" s="16" t="s">
        <v>51</v>
      </c>
      <c r="B756" s="17" t="n">
        <v>6</v>
      </c>
      <c r="C756" s="17" t="s">
        <v>67</v>
      </c>
      <c r="D756" s="16" t="s">
        <v>68</v>
      </c>
      <c r="E756" s="17" t="n">
        <v>12</v>
      </c>
      <c r="F756" s="26" t="n">
        <v>0.00203150913520777</v>
      </c>
      <c r="G756" s="17" t="n">
        <v>96</v>
      </c>
      <c r="H756" s="17" t="n">
        <v>1500</v>
      </c>
      <c r="I756" s="17"/>
      <c r="J756" s="17" t="n">
        <v>5</v>
      </c>
      <c r="K756" s="17"/>
      <c r="L756" s="17"/>
      <c r="M756" s="17"/>
      <c r="N756" s="27" t="str">
        <f aca="false">IF(F756=_xlfn.MINIFS($F$2:$F$948,$A$2:$A$948,$A756,$B$2:$B$948,$B756),"BEST","")</f>
        <v/>
      </c>
    </row>
    <row r="757" customFormat="false" ht="15" hidden="false" customHeight="false" outlineLevel="0" collapsed="false">
      <c r="A757" s="16" t="s">
        <v>51</v>
      </c>
      <c r="B757" s="17" t="n">
        <v>6</v>
      </c>
      <c r="C757" s="17" t="s">
        <v>67</v>
      </c>
      <c r="D757" s="16" t="s">
        <v>68</v>
      </c>
      <c r="E757" s="17" t="n">
        <v>13</v>
      </c>
      <c r="F757" s="26" t="n">
        <v>0.00199690010734413</v>
      </c>
      <c r="G757" s="17" t="n">
        <v>96</v>
      </c>
      <c r="H757" s="17" t="n">
        <v>1500</v>
      </c>
      <c r="I757" s="17"/>
      <c r="J757" s="17" t="n">
        <v>5</v>
      </c>
      <c r="K757" s="17"/>
      <c r="L757" s="17"/>
      <c r="M757" s="17"/>
      <c r="N757" s="27" t="str">
        <f aca="false">IF(F757=_xlfn.MINIFS($F$2:$F$948,$A$2:$A$948,$A757,$B$2:$B$948,$B757),"BEST","")</f>
        <v/>
      </c>
    </row>
    <row r="758" customFormat="false" ht="15" hidden="false" customHeight="false" outlineLevel="0" collapsed="false">
      <c r="A758" s="16" t="s">
        <v>51</v>
      </c>
      <c r="B758" s="17" t="n">
        <v>6</v>
      </c>
      <c r="C758" s="17" t="s">
        <v>67</v>
      </c>
      <c r="D758" s="16" t="s">
        <v>68</v>
      </c>
      <c r="E758" s="17" t="n">
        <v>14</v>
      </c>
      <c r="F758" s="26" t="n">
        <v>0.00195380858926083</v>
      </c>
      <c r="G758" s="17" t="n">
        <v>96</v>
      </c>
      <c r="H758" s="17" t="n">
        <v>1500</v>
      </c>
      <c r="I758" s="17"/>
      <c r="J758" s="17" t="n">
        <v>5</v>
      </c>
      <c r="K758" s="17"/>
      <c r="L758" s="17"/>
      <c r="M758" s="17"/>
      <c r="N758" s="27" t="str">
        <f aca="false">IF(F758=_xlfn.MINIFS($F$2:$F$948,$A$2:$A$948,$A758,$B$2:$B$948,$B758),"BEST","")</f>
        <v/>
      </c>
    </row>
    <row r="759" customFormat="false" ht="15" hidden="false" customHeight="false" outlineLevel="0" collapsed="false">
      <c r="A759" s="16" t="s">
        <v>51</v>
      </c>
      <c r="B759" s="17" t="n">
        <v>6</v>
      </c>
      <c r="C759" s="17" t="s">
        <v>67</v>
      </c>
      <c r="D759" s="16" t="s">
        <v>68</v>
      </c>
      <c r="E759" s="17" t="n">
        <v>15</v>
      </c>
      <c r="F759" s="26" t="n">
        <v>0.00204498582667308</v>
      </c>
      <c r="G759" s="17" t="n">
        <v>96</v>
      </c>
      <c r="H759" s="17" t="n">
        <v>1500</v>
      </c>
      <c r="I759" s="17"/>
      <c r="J759" s="17" t="n">
        <v>5</v>
      </c>
      <c r="K759" s="17"/>
      <c r="L759" s="17"/>
      <c r="M759" s="17"/>
      <c r="N759" s="27" t="str">
        <f aca="false">IF(F759=_xlfn.MINIFS($F$2:$F$948,$A$2:$A$948,$A759,$B$2:$B$948,$B759),"BEST","")</f>
        <v/>
      </c>
    </row>
    <row r="760" customFormat="false" ht="15" hidden="false" customHeight="false" outlineLevel="0" collapsed="false">
      <c r="A760" s="16" t="s">
        <v>51</v>
      </c>
      <c r="B760" s="17" t="n">
        <v>6</v>
      </c>
      <c r="C760" s="17" t="s">
        <v>67</v>
      </c>
      <c r="D760" s="16" t="s">
        <v>68</v>
      </c>
      <c r="E760" s="17" t="n">
        <v>16</v>
      </c>
      <c r="F760" s="26" t="n">
        <v>0.00194131784372667</v>
      </c>
      <c r="G760" s="17" t="n">
        <v>96</v>
      </c>
      <c r="H760" s="17" t="n">
        <v>1500</v>
      </c>
      <c r="I760" s="17"/>
      <c r="J760" s="17" t="n">
        <v>5</v>
      </c>
      <c r="K760" s="17"/>
      <c r="L760" s="17"/>
      <c r="M760" s="17"/>
      <c r="N760" s="27" t="str">
        <f aca="false">IF(F760=_xlfn.MINIFS($F$2:$F$948,$A$2:$A$948,$A760,$B$2:$B$948,$B760),"BEST","")</f>
        <v/>
      </c>
    </row>
    <row r="761" customFormat="false" ht="15" hidden="false" customHeight="false" outlineLevel="0" collapsed="false">
      <c r="A761" s="16" t="s">
        <v>51</v>
      </c>
      <c r="B761" s="17" t="n">
        <v>6</v>
      </c>
      <c r="C761" s="17" t="s">
        <v>67</v>
      </c>
      <c r="D761" s="16" t="s">
        <v>68</v>
      </c>
      <c r="E761" s="17" t="n">
        <v>17</v>
      </c>
      <c r="F761" s="26" t="n">
        <v>0.00194142033688412</v>
      </c>
      <c r="G761" s="17" t="n">
        <v>96</v>
      </c>
      <c r="H761" s="17" t="n">
        <v>1500</v>
      </c>
      <c r="I761" s="17"/>
      <c r="J761" s="17" t="n">
        <v>5</v>
      </c>
      <c r="K761" s="17"/>
      <c r="L761" s="17"/>
      <c r="M761" s="17"/>
      <c r="N761" s="27" t="str">
        <f aca="false">IF(F761=_xlfn.MINIFS($F$2:$F$948,$A$2:$A$948,$A761,$B$2:$B$948,$B761),"BEST","")</f>
        <v/>
      </c>
    </row>
    <row r="762" customFormat="false" ht="15" hidden="false" customHeight="false" outlineLevel="0" collapsed="false">
      <c r="A762" s="16" t="s">
        <v>51</v>
      </c>
      <c r="B762" s="17" t="n">
        <v>6</v>
      </c>
      <c r="C762" s="17" t="s">
        <v>67</v>
      </c>
      <c r="D762" s="16" t="s">
        <v>68</v>
      </c>
      <c r="E762" s="17" t="n">
        <v>18</v>
      </c>
      <c r="F762" s="26" t="n">
        <v>0.00196037003083737</v>
      </c>
      <c r="G762" s="17" t="n">
        <v>96</v>
      </c>
      <c r="H762" s="17" t="n">
        <v>1500</v>
      </c>
      <c r="I762" s="17"/>
      <c r="J762" s="17" t="n">
        <v>5</v>
      </c>
      <c r="K762" s="17"/>
      <c r="L762" s="17"/>
      <c r="M762" s="17"/>
      <c r="N762" s="27" t="str">
        <f aca="false">IF(F762=_xlfn.MINIFS($F$2:$F$948,$A$2:$A$948,$A762,$B$2:$B$948,$B762),"BEST","")</f>
        <v/>
      </c>
    </row>
    <row r="763" customFormat="false" ht="15" hidden="false" customHeight="false" outlineLevel="0" collapsed="false">
      <c r="A763" s="16" t="s">
        <v>51</v>
      </c>
      <c r="B763" s="17" t="n">
        <v>6</v>
      </c>
      <c r="C763" s="17" t="s">
        <v>67</v>
      </c>
      <c r="D763" s="16" t="s">
        <v>68</v>
      </c>
      <c r="E763" s="17" t="n">
        <v>19</v>
      </c>
      <c r="F763" s="26" t="n">
        <v>0.00196275682111734</v>
      </c>
      <c r="G763" s="17" t="n">
        <v>96</v>
      </c>
      <c r="H763" s="17" t="n">
        <v>1500</v>
      </c>
      <c r="I763" s="17"/>
      <c r="J763" s="17" t="n">
        <v>5</v>
      </c>
      <c r="K763" s="17"/>
      <c r="L763" s="17"/>
      <c r="M763" s="17"/>
      <c r="N763" s="27" t="str">
        <f aca="false">IF(F763=_xlfn.MINIFS($F$2:$F$948,$A$2:$A$948,$A763,$B$2:$B$948,$B763),"BEST","")</f>
        <v/>
      </c>
    </row>
    <row r="764" customFormat="false" ht="15" hidden="false" customHeight="false" outlineLevel="0" collapsed="false">
      <c r="A764" s="16" t="s">
        <v>51</v>
      </c>
      <c r="B764" s="17" t="n">
        <v>6</v>
      </c>
      <c r="C764" s="17" t="s">
        <v>69</v>
      </c>
      <c r="D764" s="16" t="s">
        <v>68</v>
      </c>
      <c r="E764" s="17" t="n">
        <v>0</v>
      </c>
      <c r="F764" s="26" t="n">
        <v>0.0101509435097098</v>
      </c>
      <c r="G764" s="17" t="n">
        <v>96</v>
      </c>
      <c r="H764" s="17" t="n">
        <v>1500</v>
      </c>
      <c r="I764" s="17"/>
      <c r="J764" s="17" t="n">
        <v>5</v>
      </c>
      <c r="K764" s="17"/>
      <c r="L764" s="17"/>
      <c r="M764" s="17"/>
      <c r="N764" s="27" t="str">
        <f aca="false">IF(F764=_xlfn.MINIFS($F$2:$F$948,$A$2:$A$948,$A764,$B$2:$B$948,$B764),"BEST","")</f>
        <v/>
      </c>
    </row>
    <row r="765" customFormat="false" ht="15" hidden="false" customHeight="false" outlineLevel="0" collapsed="false">
      <c r="A765" s="16" t="s">
        <v>51</v>
      </c>
      <c r="B765" s="17" t="n">
        <v>6</v>
      </c>
      <c r="C765" s="17" t="s">
        <v>69</v>
      </c>
      <c r="D765" s="16" t="s">
        <v>68</v>
      </c>
      <c r="E765" s="17" t="n">
        <v>1</v>
      </c>
      <c r="F765" s="26" t="n">
        <v>0.00947851299877747</v>
      </c>
      <c r="G765" s="17" t="n">
        <v>96</v>
      </c>
      <c r="H765" s="17" t="n">
        <v>1500</v>
      </c>
      <c r="I765" s="17"/>
      <c r="J765" s="17" t="n">
        <v>5</v>
      </c>
      <c r="K765" s="17"/>
      <c r="L765" s="17"/>
      <c r="M765" s="17"/>
      <c r="N765" s="27" t="str">
        <f aca="false">IF(F765=_xlfn.MINIFS($F$2:$F$948,$A$2:$A$948,$A765,$B$2:$B$948,$B765),"BEST","")</f>
        <v/>
      </c>
    </row>
    <row r="766" customFormat="false" ht="15" hidden="false" customHeight="false" outlineLevel="0" collapsed="false">
      <c r="A766" s="16" t="s">
        <v>51</v>
      </c>
      <c r="B766" s="17" t="n">
        <v>6</v>
      </c>
      <c r="C766" s="17" t="s">
        <v>69</v>
      </c>
      <c r="D766" s="16" t="s">
        <v>68</v>
      </c>
      <c r="E766" s="17" t="n">
        <v>2</v>
      </c>
      <c r="F766" s="26" t="n">
        <v>0.00975059151020109</v>
      </c>
      <c r="G766" s="17" t="n">
        <v>96</v>
      </c>
      <c r="H766" s="17" t="n">
        <v>1500</v>
      </c>
      <c r="I766" s="17"/>
      <c r="J766" s="17" t="n">
        <v>5</v>
      </c>
      <c r="K766" s="17"/>
      <c r="L766" s="17"/>
      <c r="M766" s="17"/>
      <c r="N766" s="27" t="str">
        <f aca="false">IF(F766=_xlfn.MINIFS($F$2:$F$948,$A$2:$A$948,$A766,$B$2:$B$948,$B766),"BEST","")</f>
        <v/>
      </c>
    </row>
    <row r="767" customFormat="false" ht="15" hidden="false" customHeight="false" outlineLevel="0" collapsed="false">
      <c r="A767" s="16" t="s">
        <v>51</v>
      </c>
      <c r="B767" s="17" t="n">
        <v>6</v>
      </c>
      <c r="C767" s="17" t="s">
        <v>69</v>
      </c>
      <c r="D767" s="16" t="s">
        <v>68</v>
      </c>
      <c r="E767" s="17" t="n">
        <v>3</v>
      </c>
      <c r="F767" s="26" t="n">
        <v>0.0110902244564355</v>
      </c>
      <c r="G767" s="17" t="n">
        <v>96</v>
      </c>
      <c r="H767" s="17" t="n">
        <v>1500</v>
      </c>
      <c r="I767" s="17"/>
      <c r="J767" s="17" t="n">
        <v>5</v>
      </c>
      <c r="K767" s="17"/>
      <c r="L767" s="17"/>
      <c r="M767" s="17"/>
      <c r="N767" s="27" t="str">
        <f aca="false">IF(F767=_xlfn.MINIFS($F$2:$F$948,$A$2:$A$948,$A767,$B$2:$B$948,$B767),"BEST","")</f>
        <v/>
      </c>
    </row>
    <row r="768" customFormat="false" ht="15" hidden="false" customHeight="false" outlineLevel="0" collapsed="false">
      <c r="A768" s="16" t="s">
        <v>51</v>
      </c>
      <c r="B768" s="17" t="n">
        <v>6</v>
      </c>
      <c r="C768" s="17" t="s">
        <v>69</v>
      </c>
      <c r="D768" s="16" t="s">
        <v>68</v>
      </c>
      <c r="E768" s="17" t="n">
        <v>4</v>
      </c>
      <c r="F768" s="26" t="n">
        <v>0.0100185531106677</v>
      </c>
      <c r="G768" s="17" t="n">
        <v>96</v>
      </c>
      <c r="H768" s="17" t="n">
        <v>1500</v>
      </c>
      <c r="I768" s="17"/>
      <c r="J768" s="17" t="n">
        <v>5</v>
      </c>
      <c r="K768" s="17"/>
      <c r="L768" s="17"/>
      <c r="M768" s="17"/>
      <c r="N768" s="27" t="str">
        <f aca="false">IF(F768=_xlfn.MINIFS($F$2:$F$948,$A$2:$A$948,$A768,$B$2:$B$948,$B768),"BEST","")</f>
        <v/>
      </c>
    </row>
    <row r="769" customFormat="false" ht="15" hidden="false" customHeight="false" outlineLevel="0" collapsed="false">
      <c r="A769" s="16" t="s">
        <v>51</v>
      </c>
      <c r="B769" s="17" t="n">
        <v>6</v>
      </c>
      <c r="C769" s="17" t="s">
        <v>69</v>
      </c>
      <c r="D769" s="16" t="s">
        <v>68</v>
      </c>
      <c r="E769" s="17" t="n">
        <v>5</v>
      </c>
      <c r="F769" s="26" t="n">
        <v>0.00881063824270071</v>
      </c>
      <c r="G769" s="17" t="n">
        <v>96</v>
      </c>
      <c r="H769" s="17" t="n">
        <v>1500</v>
      </c>
      <c r="I769" s="17"/>
      <c r="J769" s="17" t="n">
        <v>5</v>
      </c>
      <c r="K769" s="17"/>
      <c r="L769" s="17"/>
      <c r="M769" s="17"/>
      <c r="N769" s="27" t="str">
        <f aca="false">IF(F769=_xlfn.MINIFS($F$2:$F$948,$A$2:$A$948,$A769,$B$2:$B$948,$B769),"BEST","")</f>
        <v/>
      </c>
    </row>
    <row r="770" customFormat="false" ht="15" hidden="false" customHeight="false" outlineLevel="0" collapsed="false">
      <c r="A770" s="16" t="s">
        <v>51</v>
      </c>
      <c r="B770" s="17" t="n">
        <v>6</v>
      </c>
      <c r="C770" s="17" t="s">
        <v>69</v>
      </c>
      <c r="D770" s="16" t="s">
        <v>68</v>
      </c>
      <c r="E770" s="17" t="n">
        <v>6</v>
      </c>
      <c r="F770" s="26" t="n">
        <v>0.0116112942681246</v>
      </c>
      <c r="G770" s="17" t="n">
        <v>96</v>
      </c>
      <c r="H770" s="17" t="n">
        <v>1500</v>
      </c>
      <c r="I770" s="17"/>
      <c r="J770" s="17" t="n">
        <v>5</v>
      </c>
      <c r="K770" s="17"/>
      <c r="L770" s="17"/>
      <c r="M770" s="17"/>
      <c r="N770" s="27" t="str">
        <f aca="false">IF(F770=_xlfn.MINIFS($F$2:$F$948,$A$2:$A$948,$A770,$B$2:$B$948,$B770),"BEST","")</f>
        <v/>
      </c>
    </row>
    <row r="771" customFormat="false" ht="15" hidden="false" customHeight="false" outlineLevel="0" collapsed="false">
      <c r="A771" s="16" t="s">
        <v>51</v>
      </c>
      <c r="B771" s="17" t="n">
        <v>6</v>
      </c>
      <c r="C771" s="17" t="s">
        <v>69</v>
      </c>
      <c r="D771" s="16" t="s">
        <v>68</v>
      </c>
      <c r="E771" s="17" t="n">
        <v>7</v>
      </c>
      <c r="F771" s="26" t="n">
        <v>0.00884132533774401</v>
      </c>
      <c r="G771" s="17" t="n">
        <v>96</v>
      </c>
      <c r="H771" s="17" t="n">
        <v>1500</v>
      </c>
      <c r="I771" s="17"/>
      <c r="J771" s="17" t="n">
        <v>5</v>
      </c>
      <c r="K771" s="17"/>
      <c r="L771" s="17"/>
      <c r="M771" s="17"/>
      <c r="N771" s="27" t="str">
        <f aca="false">IF(F771=_xlfn.MINIFS($F$2:$F$948,$A$2:$A$948,$A771,$B$2:$B$948,$B771),"BEST","")</f>
        <v/>
      </c>
    </row>
    <row r="772" customFormat="false" ht="15" hidden="false" customHeight="false" outlineLevel="0" collapsed="false">
      <c r="A772" s="16" t="s">
        <v>51</v>
      </c>
      <c r="B772" s="17" t="n">
        <v>6</v>
      </c>
      <c r="C772" s="17" t="s">
        <v>69</v>
      </c>
      <c r="D772" s="16" t="s">
        <v>68</v>
      </c>
      <c r="E772" s="17" t="n">
        <v>8</v>
      </c>
      <c r="F772" s="26" t="n">
        <v>0.00957933502275804</v>
      </c>
      <c r="G772" s="17" t="n">
        <v>96</v>
      </c>
      <c r="H772" s="17" t="n">
        <v>1500</v>
      </c>
      <c r="I772" s="17"/>
      <c r="J772" s="17" t="n">
        <v>5</v>
      </c>
      <c r="K772" s="17"/>
      <c r="L772" s="17"/>
      <c r="M772" s="17"/>
      <c r="N772" s="27" t="str">
        <f aca="false">IF(F772=_xlfn.MINIFS($F$2:$F$948,$A$2:$A$948,$A772,$B$2:$B$948,$B772),"BEST","")</f>
        <v/>
      </c>
    </row>
    <row r="773" customFormat="false" ht="15" hidden="false" customHeight="false" outlineLevel="0" collapsed="false">
      <c r="A773" s="16" t="s">
        <v>51</v>
      </c>
      <c r="B773" s="17" t="n">
        <v>6</v>
      </c>
      <c r="C773" s="17" t="s">
        <v>69</v>
      </c>
      <c r="D773" s="16" t="s">
        <v>68</v>
      </c>
      <c r="E773" s="17" t="n">
        <v>9</v>
      </c>
      <c r="F773" s="26" t="n">
        <v>0.00902407886382675</v>
      </c>
      <c r="G773" s="17" t="n">
        <v>96</v>
      </c>
      <c r="H773" s="17" t="n">
        <v>1500</v>
      </c>
      <c r="I773" s="17"/>
      <c r="J773" s="17" t="n">
        <v>5</v>
      </c>
      <c r="K773" s="17"/>
      <c r="L773" s="17"/>
      <c r="M773" s="17"/>
      <c r="N773" s="27" t="str">
        <f aca="false">IF(F773=_xlfn.MINIFS($F$2:$F$948,$A$2:$A$948,$A773,$B$2:$B$948,$B773),"BEST","")</f>
        <v/>
      </c>
    </row>
    <row r="774" customFormat="false" ht="15" hidden="false" customHeight="false" outlineLevel="0" collapsed="false">
      <c r="A774" s="16" t="s">
        <v>51</v>
      </c>
      <c r="B774" s="17" t="n">
        <v>6</v>
      </c>
      <c r="C774" s="17" t="s">
        <v>69</v>
      </c>
      <c r="D774" s="16" t="s">
        <v>68</v>
      </c>
      <c r="E774" s="17" t="n">
        <v>10</v>
      </c>
      <c r="F774" s="26" t="n">
        <v>0.011410678870799</v>
      </c>
      <c r="G774" s="17" t="n">
        <v>96</v>
      </c>
      <c r="H774" s="17" t="n">
        <v>1500</v>
      </c>
      <c r="I774" s="17"/>
      <c r="J774" s="17" t="n">
        <v>5</v>
      </c>
      <c r="K774" s="17"/>
      <c r="L774" s="17"/>
      <c r="M774" s="17"/>
      <c r="N774" s="27" t="str">
        <f aca="false">IF(F774=_xlfn.MINIFS($F$2:$F$948,$A$2:$A$948,$A774,$B$2:$B$948,$B774),"BEST","")</f>
        <v/>
      </c>
    </row>
    <row r="775" customFormat="false" ht="15" hidden="false" customHeight="false" outlineLevel="0" collapsed="false">
      <c r="A775" s="16" t="s">
        <v>51</v>
      </c>
      <c r="B775" s="17" t="n">
        <v>6</v>
      </c>
      <c r="C775" s="17" t="s">
        <v>69</v>
      </c>
      <c r="D775" s="16" t="s">
        <v>68</v>
      </c>
      <c r="E775" s="17" t="n">
        <v>11</v>
      </c>
      <c r="F775" s="26" t="n">
        <v>0.00937903253300523</v>
      </c>
      <c r="G775" s="17" t="n">
        <v>96</v>
      </c>
      <c r="H775" s="17" t="n">
        <v>1500</v>
      </c>
      <c r="I775" s="17"/>
      <c r="J775" s="17" t="n">
        <v>5</v>
      </c>
      <c r="K775" s="17"/>
      <c r="L775" s="17"/>
      <c r="M775" s="17"/>
      <c r="N775" s="27" t="str">
        <f aca="false">IF(F775=_xlfn.MINIFS($F$2:$F$948,$A$2:$A$948,$A775,$B$2:$B$948,$B775),"BEST","")</f>
        <v/>
      </c>
    </row>
    <row r="776" customFormat="false" ht="15" hidden="false" customHeight="false" outlineLevel="0" collapsed="false">
      <c r="A776" s="16" t="s">
        <v>51</v>
      </c>
      <c r="B776" s="17" t="n">
        <v>6</v>
      </c>
      <c r="C776" s="17" t="s">
        <v>69</v>
      </c>
      <c r="D776" s="16" t="s">
        <v>68</v>
      </c>
      <c r="E776" s="17" t="n">
        <v>12</v>
      </c>
      <c r="F776" s="26" t="n">
        <v>0.0101521712014699</v>
      </c>
      <c r="G776" s="17" t="n">
        <v>96</v>
      </c>
      <c r="H776" s="17" t="n">
        <v>1500</v>
      </c>
      <c r="I776" s="17"/>
      <c r="J776" s="17" t="n">
        <v>5</v>
      </c>
      <c r="K776" s="17"/>
      <c r="L776" s="17"/>
      <c r="M776" s="17"/>
      <c r="N776" s="27" t="str">
        <f aca="false">IF(F776=_xlfn.MINIFS($F$2:$F$948,$A$2:$A$948,$A776,$B$2:$B$948,$B776),"BEST","")</f>
        <v/>
      </c>
    </row>
    <row r="777" customFormat="false" ht="15" hidden="false" customHeight="false" outlineLevel="0" collapsed="false">
      <c r="A777" s="16" t="s">
        <v>51</v>
      </c>
      <c r="B777" s="17" t="n">
        <v>6</v>
      </c>
      <c r="C777" s="17" t="s">
        <v>69</v>
      </c>
      <c r="D777" s="16" t="s">
        <v>68</v>
      </c>
      <c r="E777" s="17" t="n">
        <v>13</v>
      </c>
      <c r="F777" s="26" t="n">
        <v>0.0109840452966958</v>
      </c>
      <c r="G777" s="17" t="n">
        <v>96</v>
      </c>
      <c r="H777" s="17" t="n">
        <v>1500</v>
      </c>
      <c r="I777" s="17"/>
      <c r="J777" s="17" t="n">
        <v>5</v>
      </c>
      <c r="K777" s="17"/>
      <c r="L777" s="17"/>
      <c r="M777" s="17"/>
      <c r="N777" s="27" t="str">
        <f aca="false">IF(F777=_xlfn.MINIFS($F$2:$F$948,$A$2:$A$948,$A777,$B$2:$B$948,$B777),"BEST","")</f>
        <v/>
      </c>
    </row>
    <row r="778" customFormat="false" ht="15" hidden="false" customHeight="false" outlineLevel="0" collapsed="false">
      <c r="A778" s="16" t="s">
        <v>51</v>
      </c>
      <c r="B778" s="17" t="n">
        <v>6</v>
      </c>
      <c r="C778" s="17" t="s">
        <v>69</v>
      </c>
      <c r="D778" s="16" t="s">
        <v>68</v>
      </c>
      <c r="E778" s="17" t="n">
        <v>14</v>
      </c>
      <c r="F778" s="26" t="n">
        <v>0.00971868092864782</v>
      </c>
      <c r="G778" s="17" t="n">
        <v>96</v>
      </c>
      <c r="H778" s="17" t="n">
        <v>1500</v>
      </c>
      <c r="I778" s="17"/>
      <c r="J778" s="17" t="n">
        <v>5</v>
      </c>
      <c r="K778" s="17"/>
      <c r="L778" s="17"/>
      <c r="M778" s="17"/>
      <c r="N778" s="27" t="str">
        <f aca="false">IF(F778=_xlfn.MINIFS($F$2:$F$948,$A$2:$A$948,$A778,$B$2:$B$948,$B778),"BEST","")</f>
        <v/>
      </c>
    </row>
    <row r="779" customFormat="false" ht="15" hidden="false" customHeight="false" outlineLevel="0" collapsed="false">
      <c r="A779" s="16" t="s">
        <v>51</v>
      </c>
      <c r="B779" s="17" t="n">
        <v>6</v>
      </c>
      <c r="C779" s="17" t="s">
        <v>69</v>
      </c>
      <c r="D779" s="16" t="s">
        <v>68</v>
      </c>
      <c r="E779" s="17" t="n">
        <v>15</v>
      </c>
      <c r="F779" s="26" t="n">
        <v>0.0101048393362424</v>
      </c>
      <c r="G779" s="17" t="n">
        <v>96</v>
      </c>
      <c r="H779" s="17" t="n">
        <v>1500</v>
      </c>
      <c r="I779" s="17"/>
      <c r="J779" s="17" t="n">
        <v>5</v>
      </c>
      <c r="K779" s="17"/>
      <c r="L779" s="17"/>
      <c r="M779" s="17"/>
      <c r="N779" s="27" t="str">
        <f aca="false">IF(F779=_xlfn.MINIFS($F$2:$F$948,$A$2:$A$948,$A779,$B$2:$B$948,$B779),"BEST","")</f>
        <v/>
      </c>
    </row>
    <row r="780" customFormat="false" ht="15" hidden="false" customHeight="false" outlineLevel="0" collapsed="false">
      <c r="A780" s="16" t="s">
        <v>51</v>
      </c>
      <c r="B780" s="17" t="n">
        <v>6</v>
      </c>
      <c r="C780" s="17" t="s">
        <v>69</v>
      </c>
      <c r="D780" s="16" t="s">
        <v>68</v>
      </c>
      <c r="E780" s="17" t="n">
        <v>16</v>
      </c>
      <c r="F780" s="26" t="n">
        <v>0.00838045444318582</v>
      </c>
      <c r="G780" s="17" t="n">
        <v>96</v>
      </c>
      <c r="H780" s="17" t="n">
        <v>1500</v>
      </c>
      <c r="I780" s="17"/>
      <c r="J780" s="17" t="n">
        <v>5</v>
      </c>
      <c r="K780" s="17"/>
      <c r="L780" s="17"/>
      <c r="M780" s="17"/>
      <c r="N780" s="27" t="str">
        <f aca="false">IF(F780=_xlfn.MINIFS($F$2:$F$948,$A$2:$A$948,$A780,$B$2:$B$948,$B780),"BEST","")</f>
        <v/>
      </c>
    </row>
    <row r="781" customFormat="false" ht="15" hidden="false" customHeight="false" outlineLevel="0" collapsed="false">
      <c r="A781" s="16" t="s">
        <v>51</v>
      </c>
      <c r="B781" s="17" t="n">
        <v>6</v>
      </c>
      <c r="C781" s="17" t="s">
        <v>69</v>
      </c>
      <c r="D781" s="16" t="s">
        <v>68</v>
      </c>
      <c r="E781" s="17" t="n">
        <v>17</v>
      </c>
      <c r="F781" s="26" t="n">
        <v>0.00914685594901404</v>
      </c>
      <c r="G781" s="17" t="n">
        <v>96</v>
      </c>
      <c r="H781" s="17" t="n">
        <v>1500</v>
      </c>
      <c r="I781" s="17"/>
      <c r="J781" s="17" t="n">
        <v>5</v>
      </c>
      <c r="K781" s="17"/>
      <c r="L781" s="17"/>
      <c r="M781" s="17"/>
      <c r="N781" s="27" t="str">
        <f aca="false">IF(F781=_xlfn.MINIFS($F$2:$F$948,$A$2:$A$948,$A781,$B$2:$B$948,$B781),"BEST","")</f>
        <v/>
      </c>
    </row>
    <row r="782" customFormat="false" ht="15" hidden="false" customHeight="false" outlineLevel="0" collapsed="false">
      <c r="A782" s="16" t="s">
        <v>51</v>
      </c>
      <c r="B782" s="17" t="n">
        <v>6</v>
      </c>
      <c r="C782" s="17" t="s">
        <v>69</v>
      </c>
      <c r="D782" s="16" t="s">
        <v>68</v>
      </c>
      <c r="E782" s="17" t="n">
        <v>18</v>
      </c>
      <c r="F782" s="26" t="n">
        <v>0.0100475532906472</v>
      </c>
      <c r="G782" s="17" t="n">
        <v>96</v>
      </c>
      <c r="H782" s="17" t="n">
        <v>1500</v>
      </c>
      <c r="I782" s="17"/>
      <c r="J782" s="17" t="n">
        <v>5</v>
      </c>
      <c r="K782" s="17"/>
      <c r="L782" s="17"/>
      <c r="M782" s="17"/>
      <c r="N782" s="27" t="str">
        <f aca="false">IF(F782=_xlfn.MINIFS($F$2:$F$948,$A$2:$A$948,$A782,$B$2:$B$948,$B782),"BEST","")</f>
        <v/>
      </c>
    </row>
    <row r="783" customFormat="false" ht="15" hidden="false" customHeight="false" outlineLevel="0" collapsed="false">
      <c r="A783" s="16" t="s">
        <v>51</v>
      </c>
      <c r="B783" s="17" t="n">
        <v>6</v>
      </c>
      <c r="C783" s="17" t="s">
        <v>69</v>
      </c>
      <c r="D783" s="16" t="s">
        <v>68</v>
      </c>
      <c r="E783" s="17" t="n">
        <v>19</v>
      </c>
      <c r="F783" s="26" t="n">
        <v>0.00901732608484336</v>
      </c>
      <c r="G783" s="17" t="n">
        <v>96</v>
      </c>
      <c r="H783" s="17" t="n">
        <v>1500</v>
      </c>
      <c r="I783" s="17"/>
      <c r="J783" s="17" t="n">
        <v>5</v>
      </c>
      <c r="K783" s="17"/>
      <c r="L783" s="17"/>
      <c r="M783" s="17"/>
      <c r="N783" s="27" t="str">
        <f aca="false">IF(F783=_xlfn.MINIFS($F$2:$F$948,$A$2:$A$948,$A783,$B$2:$B$948,$B783),"BEST","")</f>
        <v/>
      </c>
    </row>
    <row r="784" customFormat="false" ht="15" hidden="false" customHeight="false" outlineLevel="0" collapsed="false">
      <c r="A784" s="16" t="s">
        <v>51</v>
      </c>
      <c r="B784" s="17" t="n">
        <v>6</v>
      </c>
      <c r="C784" s="17" t="s">
        <v>70</v>
      </c>
      <c r="D784" s="16" t="s">
        <v>68</v>
      </c>
      <c r="E784" s="17" t="n">
        <v>0</v>
      </c>
      <c r="F784" s="26" t="n">
        <v>0.00229457315148978</v>
      </c>
      <c r="G784" s="17" t="n">
        <v>21</v>
      </c>
      <c r="H784" s="17" t="n">
        <v>1500</v>
      </c>
      <c r="I784" s="17"/>
      <c r="J784" s="17" t="n">
        <v>5</v>
      </c>
      <c r="K784" s="17"/>
      <c r="L784" s="17"/>
      <c r="M784" s="17" t="n">
        <v>2</v>
      </c>
      <c r="N784" s="27" t="str">
        <f aca="false">IF(F784=_xlfn.MINIFS($F$2:$F$948,$A$2:$A$948,$A784,$B$2:$B$948,$B784),"BEST","")</f>
        <v/>
      </c>
    </row>
    <row r="785" customFormat="false" ht="15" hidden="false" customHeight="false" outlineLevel="0" collapsed="false">
      <c r="A785" s="16" t="s">
        <v>51</v>
      </c>
      <c r="B785" s="17" t="n">
        <v>6</v>
      </c>
      <c r="C785" s="17" t="s">
        <v>70</v>
      </c>
      <c r="D785" s="16" t="s">
        <v>68</v>
      </c>
      <c r="E785" s="17" t="n">
        <v>1</v>
      </c>
      <c r="F785" s="26" t="n">
        <v>0.00229457315148978</v>
      </c>
      <c r="G785" s="17" t="n">
        <v>21</v>
      </c>
      <c r="H785" s="17" t="n">
        <v>1500</v>
      </c>
      <c r="I785" s="17"/>
      <c r="J785" s="17" t="n">
        <v>5</v>
      </c>
      <c r="K785" s="17"/>
      <c r="L785" s="17"/>
      <c r="M785" s="17" t="n">
        <v>2</v>
      </c>
      <c r="N785" s="27" t="str">
        <f aca="false">IF(F785=_xlfn.MINIFS($F$2:$F$948,$A$2:$A$948,$A785,$B$2:$B$948,$B785),"BEST","")</f>
        <v/>
      </c>
    </row>
    <row r="786" customFormat="false" ht="15" hidden="false" customHeight="false" outlineLevel="0" collapsed="false">
      <c r="A786" s="16" t="s">
        <v>51</v>
      </c>
      <c r="B786" s="17" t="n">
        <v>6</v>
      </c>
      <c r="C786" s="17" t="s">
        <v>70</v>
      </c>
      <c r="D786" s="16" t="s">
        <v>68</v>
      </c>
      <c r="E786" s="17" t="n">
        <v>2</v>
      </c>
      <c r="F786" s="26" t="n">
        <v>0.00229457315148978</v>
      </c>
      <c r="G786" s="17" t="n">
        <v>21</v>
      </c>
      <c r="H786" s="17" t="n">
        <v>1500</v>
      </c>
      <c r="I786" s="17"/>
      <c r="J786" s="17" t="n">
        <v>5</v>
      </c>
      <c r="K786" s="17"/>
      <c r="L786" s="17"/>
      <c r="M786" s="17" t="n">
        <v>2</v>
      </c>
      <c r="N786" s="27" t="str">
        <f aca="false">IF(F786=_xlfn.MINIFS($F$2:$F$948,$A$2:$A$948,$A786,$B$2:$B$948,$B786),"BEST","")</f>
        <v/>
      </c>
    </row>
    <row r="787" customFormat="false" ht="15" hidden="false" customHeight="false" outlineLevel="0" collapsed="false">
      <c r="A787" s="16" t="s">
        <v>51</v>
      </c>
      <c r="B787" s="17" t="n">
        <v>6</v>
      </c>
      <c r="C787" s="17" t="s">
        <v>70</v>
      </c>
      <c r="D787" s="16" t="s">
        <v>68</v>
      </c>
      <c r="E787" s="17" t="n">
        <v>3</v>
      </c>
      <c r="F787" s="26" t="n">
        <v>0.00229457315148978</v>
      </c>
      <c r="G787" s="17" t="n">
        <v>21</v>
      </c>
      <c r="H787" s="17" t="n">
        <v>1500</v>
      </c>
      <c r="I787" s="17"/>
      <c r="J787" s="17" t="n">
        <v>5</v>
      </c>
      <c r="K787" s="17"/>
      <c r="L787" s="17"/>
      <c r="M787" s="17" t="n">
        <v>2</v>
      </c>
      <c r="N787" s="27" t="str">
        <f aca="false">IF(F787=_xlfn.MINIFS($F$2:$F$948,$A$2:$A$948,$A787,$B$2:$B$948,$B787),"BEST","")</f>
        <v/>
      </c>
    </row>
    <row r="788" customFormat="false" ht="15" hidden="false" customHeight="false" outlineLevel="0" collapsed="false">
      <c r="A788" s="16" t="s">
        <v>51</v>
      </c>
      <c r="B788" s="17" t="n">
        <v>6</v>
      </c>
      <c r="C788" s="17" t="s">
        <v>70</v>
      </c>
      <c r="D788" s="16" t="s">
        <v>68</v>
      </c>
      <c r="E788" s="17" t="n">
        <v>4</v>
      </c>
      <c r="F788" s="26" t="n">
        <v>0.00229457315148978</v>
      </c>
      <c r="G788" s="17" t="n">
        <v>21</v>
      </c>
      <c r="H788" s="17" t="n">
        <v>1500</v>
      </c>
      <c r="I788" s="17"/>
      <c r="J788" s="17" t="n">
        <v>5</v>
      </c>
      <c r="K788" s="17"/>
      <c r="L788" s="17"/>
      <c r="M788" s="17" t="n">
        <v>2</v>
      </c>
      <c r="N788" s="27" t="str">
        <f aca="false">IF(F788=_xlfn.MINIFS($F$2:$F$948,$A$2:$A$948,$A788,$B$2:$B$948,$B788),"BEST","")</f>
        <v/>
      </c>
    </row>
    <row r="789" customFormat="false" ht="15" hidden="false" customHeight="false" outlineLevel="0" collapsed="false">
      <c r="A789" s="16" t="s">
        <v>51</v>
      </c>
      <c r="B789" s="17" t="n">
        <v>6</v>
      </c>
      <c r="C789" s="17" t="s">
        <v>70</v>
      </c>
      <c r="D789" s="16" t="s">
        <v>68</v>
      </c>
      <c r="E789" s="17" t="n">
        <v>5</v>
      </c>
      <c r="F789" s="26" t="n">
        <v>0.00229457315148978</v>
      </c>
      <c r="G789" s="17" t="n">
        <v>21</v>
      </c>
      <c r="H789" s="17" t="n">
        <v>1500</v>
      </c>
      <c r="I789" s="17"/>
      <c r="J789" s="17" t="n">
        <v>5</v>
      </c>
      <c r="K789" s="17"/>
      <c r="L789" s="17"/>
      <c r="M789" s="17" t="n">
        <v>2</v>
      </c>
      <c r="N789" s="27" t="str">
        <f aca="false">IF(F789=_xlfn.MINIFS($F$2:$F$948,$A$2:$A$948,$A789,$B$2:$B$948,$B789),"BEST","")</f>
        <v/>
      </c>
    </row>
    <row r="790" customFormat="false" ht="15" hidden="false" customHeight="false" outlineLevel="0" collapsed="false">
      <c r="A790" s="16" t="s">
        <v>51</v>
      </c>
      <c r="B790" s="17" t="n">
        <v>6</v>
      </c>
      <c r="C790" s="17" t="s">
        <v>70</v>
      </c>
      <c r="D790" s="16" t="s">
        <v>68</v>
      </c>
      <c r="E790" s="17" t="n">
        <v>6</v>
      </c>
      <c r="F790" s="26" t="n">
        <v>0.00229457315148978</v>
      </c>
      <c r="G790" s="17" t="n">
        <v>21</v>
      </c>
      <c r="H790" s="17" t="n">
        <v>1500</v>
      </c>
      <c r="I790" s="17"/>
      <c r="J790" s="17" t="n">
        <v>5</v>
      </c>
      <c r="K790" s="17"/>
      <c r="L790" s="17"/>
      <c r="M790" s="17" t="n">
        <v>2</v>
      </c>
      <c r="N790" s="27" t="str">
        <f aca="false">IF(F790=_xlfn.MINIFS($F$2:$F$948,$A$2:$A$948,$A790,$B$2:$B$948,$B790),"BEST","")</f>
        <v/>
      </c>
    </row>
    <row r="791" customFormat="false" ht="15" hidden="false" customHeight="false" outlineLevel="0" collapsed="false">
      <c r="A791" s="16" t="s">
        <v>51</v>
      </c>
      <c r="B791" s="17" t="n">
        <v>6</v>
      </c>
      <c r="C791" s="17" t="s">
        <v>70</v>
      </c>
      <c r="D791" s="16" t="s">
        <v>68</v>
      </c>
      <c r="E791" s="17" t="n">
        <v>7</v>
      </c>
      <c r="F791" s="26" t="n">
        <v>0.00229457315148978</v>
      </c>
      <c r="G791" s="17" t="n">
        <v>21</v>
      </c>
      <c r="H791" s="17" t="n">
        <v>1500</v>
      </c>
      <c r="I791" s="17"/>
      <c r="J791" s="17" t="n">
        <v>5</v>
      </c>
      <c r="K791" s="17"/>
      <c r="L791" s="17"/>
      <c r="M791" s="17" t="n">
        <v>2</v>
      </c>
      <c r="N791" s="27" t="str">
        <f aca="false">IF(F791=_xlfn.MINIFS($F$2:$F$948,$A$2:$A$948,$A791,$B$2:$B$948,$B791),"BEST","")</f>
        <v/>
      </c>
    </row>
    <row r="792" customFormat="false" ht="15" hidden="false" customHeight="false" outlineLevel="0" collapsed="false">
      <c r="A792" s="16" t="s">
        <v>51</v>
      </c>
      <c r="B792" s="17" t="n">
        <v>6</v>
      </c>
      <c r="C792" s="17" t="s">
        <v>70</v>
      </c>
      <c r="D792" s="16" t="s">
        <v>68</v>
      </c>
      <c r="E792" s="17" t="n">
        <v>8</v>
      </c>
      <c r="F792" s="26" t="n">
        <v>0.00229457315148978</v>
      </c>
      <c r="G792" s="17" t="n">
        <v>21</v>
      </c>
      <c r="H792" s="17" t="n">
        <v>1500</v>
      </c>
      <c r="I792" s="17"/>
      <c r="J792" s="17" t="n">
        <v>5</v>
      </c>
      <c r="K792" s="17"/>
      <c r="L792" s="17"/>
      <c r="M792" s="17" t="n">
        <v>2</v>
      </c>
      <c r="N792" s="27" t="str">
        <f aca="false">IF(F792=_xlfn.MINIFS($F$2:$F$948,$A$2:$A$948,$A792,$B$2:$B$948,$B792),"BEST","")</f>
        <v/>
      </c>
    </row>
    <row r="793" customFormat="false" ht="15" hidden="false" customHeight="false" outlineLevel="0" collapsed="false">
      <c r="A793" s="16" t="s">
        <v>51</v>
      </c>
      <c r="B793" s="17" t="n">
        <v>6</v>
      </c>
      <c r="C793" s="17" t="s">
        <v>70</v>
      </c>
      <c r="D793" s="16" t="s">
        <v>68</v>
      </c>
      <c r="E793" s="17" t="n">
        <v>9</v>
      </c>
      <c r="F793" s="26" t="n">
        <v>0.00229457315148978</v>
      </c>
      <c r="G793" s="17" t="n">
        <v>21</v>
      </c>
      <c r="H793" s="17" t="n">
        <v>1500</v>
      </c>
      <c r="I793" s="17"/>
      <c r="J793" s="17" t="n">
        <v>5</v>
      </c>
      <c r="K793" s="17"/>
      <c r="L793" s="17"/>
      <c r="M793" s="17" t="n">
        <v>2</v>
      </c>
      <c r="N793" s="27" t="str">
        <f aca="false">IF(F793=_xlfn.MINIFS($F$2:$F$948,$A$2:$A$948,$A793,$B$2:$B$948,$B793),"BEST","")</f>
        <v/>
      </c>
    </row>
    <row r="794" customFormat="false" ht="15" hidden="false" customHeight="false" outlineLevel="0" collapsed="false">
      <c r="A794" s="16" t="s">
        <v>51</v>
      </c>
      <c r="B794" s="17" t="n">
        <v>6</v>
      </c>
      <c r="C794" s="17" t="s">
        <v>70</v>
      </c>
      <c r="D794" s="16" t="s">
        <v>68</v>
      </c>
      <c r="E794" s="17" t="n">
        <v>10</v>
      </c>
      <c r="F794" s="26" t="n">
        <v>0.00229457315148978</v>
      </c>
      <c r="G794" s="17" t="n">
        <v>21</v>
      </c>
      <c r="H794" s="17" t="n">
        <v>1500</v>
      </c>
      <c r="I794" s="17"/>
      <c r="J794" s="17" t="n">
        <v>5</v>
      </c>
      <c r="K794" s="17"/>
      <c r="L794" s="17"/>
      <c r="M794" s="17" t="n">
        <v>2</v>
      </c>
      <c r="N794" s="27" t="str">
        <f aca="false">IF(F794=_xlfn.MINIFS($F$2:$F$948,$A$2:$A$948,$A794,$B$2:$B$948,$B794),"BEST","")</f>
        <v/>
      </c>
    </row>
    <row r="795" customFormat="false" ht="15" hidden="false" customHeight="false" outlineLevel="0" collapsed="false">
      <c r="A795" s="16" t="s">
        <v>51</v>
      </c>
      <c r="B795" s="17" t="n">
        <v>6</v>
      </c>
      <c r="C795" s="17" t="s">
        <v>70</v>
      </c>
      <c r="D795" s="16" t="s">
        <v>68</v>
      </c>
      <c r="E795" s="17" t="n">
        <v>11</v>
      </c>
      <c r="F795" s="26" t="n">
        <v>0.00229457315148978</v>
      </c>
      <c r="G795" s="17" t="n">
        <v>21</v>
      </c>
      <c r="H795" s="17" t="n">
        <v>1500</v>
      </c>
      <c r="I795" s="17"/>
      <c r="J795" s="17" t="n">
        <v>5</v>
      </c>
      <c r="K795" s="17"/>
      <c r="L795" s="17"/>
      <c r="M795" s="17" t="n">
        <v>2</v>
      </c>
      <c r="N795" s="27" t="str">
        <f aca="false">IF(F795=_xlfn.MINIFS($F$2:$F$948,$A$2:$A$948,$A795,$B$2:$B$948,$B795),"BEST","")</f>
        <v/>
      </c>
    </row>
    <row r="796" customFormat="false" ht="15" hidden="false" customHeight="false" outlineLevel="0" collapsed="false">
      <c r="A796" s="16" t="s">
        <v>51</v>
      </c>
      <c r="B796" s="17" t="n">
        <v>6</v>
      </c>
      <c r="C796" s="17" t="s">
        <v>70</v>
      </c>
      <c r="D796" s="16" t="s">
        <v>68</v>
      </c>
      <c r="E796" s="17" t="n">
        <v>12</v>
      </c>
      <c r="F796" s="26" t="n">
        <v>0.00229457315148978</v>
      </c>
      <c r="G796" s="17" t="n">
        <v>21</v>
      </c>
      <c r="H796" s="17" t="n">
        <v>1500</v>
      </c>
      <c r="I796" s="17"/>
      <c r="J796" s="17" t="n">
        <v>5</v>
      </c>
      <c r="K796" s="17"/>
      <c r="L796" s="17"/>
      <c r="M796" s="17" t="n">
        <v>2</v>
      </c>
      <c r="N796" s="27" t="str">
        <f aca="false">IF(F796=_xlfn.MINIFS($F$2:$F$948,$A$2:$A$948,$A796,$B$2:$B$948,$B796),"BEST","")</f>
        <v/>
      </c>
    </row>
    <row r="797" customFormat="false" ht="15" hidden="false" customHeight="false" outlineLevel="0" collapsed="false">
      <c r="A797" s="16" t="s">
        <v>51</v>
      </c>
      <c r="B797" s="17" t="n">
        <v>6</v>
      </c>
      <c r="C797" s="17" t="s">
        <v>70</v>
      </c>
      <c r="D797" s="16" t="s">
        <v>68</v>
      </c>
      <c r="E797" s="17" t="n">
        <v>13</v>
      </c>
      <c r="F797" s="26" t="n">
        <v>0.00229457315148978</v>
      </c>
      <c r="G797" s="17" t="n">
        <v>21</v>
      </c>
      <c r="H797" s="17" t="n">
        <v>1500</v>
      </c>
      <c r="I797" s="17"/>
      <c r="J797" s="17" t="n">
        <v>5</v>
      </c>
      <c r="K797" s="17"/>
      <c r="L797" s="17"/>
      <c r="M797" s="17" t="n">
        <v>2</v>
      </c>
      <c r="N797" s="27" t="str">
        <f aca="false">IF(F797=_xlfn.MINIFS($F$2:$F$948,$A$2:$A$948,$A797,$B$2:$B$948,$B797),"BEST","")</f>
        <v/>
      </c>
    </row>
    <row r="798" customFormat="false" ht="15" hidden="false" customHeight="false" outlineLevel="0" collapsed="false">
      <c r="A798" s="16" t="s">
        <v>51</v>
      </c>
      <c r="B798" s="17" t="n">
        <v>6</v>
      </c>
      <c r="C798" s="17" t="s">
        <v>70</v>
      </c>
      <c r="D798" s="16" t="s">
        <v>68</v>
      </c>
      <c r="E798" s="17" t="n">
        <v>14</v>
      </c>
      <c r="F798" s="26" t="n">
        <v>0.00229457315148978</v>
      </c>
      <c r="G798" s="17" t="n">
        <v>21</v>
      </c>
      <c r="H798" s="17" t="n">
        <v>1500</v>
      </c>
      <c r="I798" s="17"/>
      <c r="J798" s="17" t="n">
        <v>5</v>
      </c>
      <c r="K798" s="17"/>
      <c r="L798" s="17"/>
      <c r="M798" s="17" t="n">
        <v>2</v>
      </c>
      <c r="N798" s="27" t="str">
        <f aca="false">IF(F798=_xlfn.MINIFS($F$2:$F$948,$A$2:$A$948,$A798,$B$2:$B$948,$B798),"BEST","")</f>
        <v/>
      </c>
    </row>
    <row r="799" customFormat="false" ht="15" hidden="false" customHeight="false" outlineLevel="0" collapsed="false">
      <c r="A799" s="16" t="s">
        <v>51</v>
      </c>
      <c r="B799" s="17" t="n">
        <v>6</v>
      </c>
      <c r="C799" s="17" t="s">
        <v>70</v>
      </c>
      <c r="D799" s="16" t="s">
        <v>68</v>
      </c>
      <c r="E799" s="17" t="n">
        <v>15</v>
      </c>
      <c r="F799" s="26" t="n">
        <v>0.00229457315148978</v>
      </c>
      <c r="G799" s="17" t="n">
        <v>21</v>
      </c>
      <c r="H799" s="17" t="n">
        <v>1500</v>
      </c>
      <c r="I799" s="17"/>
      <c r="J799" s="17" t="n">
        <v>5</v>
      </c>
      <c r="K799" s="17"/>
      <c r="L799" s="17"/>
      <c r="M799" s="17" t="n">
        <v>2</v>
      </c>
      <c r="N799" s="27" t="str">
        <f aca="false">IF(F799=_xlfn.MINIFS($F$2:$F$948,$A$2:$A$948,$A799,$B$2:$B$948,$B799),"BEST","")</f>
        <v/>
      </c>
    </row>
    <row r="800" customFormat="false" ht="15" hidden="false" customHeight="false" outlineLevel="0" collapsed="false">
      <c r="A800" s="16" t="s">
        <v>51</v>
      </c>
      <c r="B800" s="17" t="n">
        <v>6</v>
      </c>
      <c r="C800" s="17" t="s">
        <v>70</v>
      </c>
      <c r="D800" s="16" t="s">
        <v>68</v>
      </c>
      <c r="E800" s="17" t="n">
        <v>16</v>
      </c>
      <c r="F800" s="26" t="n">
        <v>0.00229457315148978</v>
      </c>
      <c r="G800" s="17" t="n">
        <v>21</v>
      </c>
      <c r="H800" s="17" t="n">
        <v>1500</v>
      </c>
      <c r="I800" s="17"/>
      <c r="J800" s="17" t="n">
        <v>5</v>
      </c>
      <c r="K800" s="17"/>
      <c r="L800" s="17"/>
      <c r="M800" s="17" t="n">
        <v>2</v>
      </c>
      <c r="N800" s="27" t="str">
        <f aca="false">IF(F800=_xlfn.MINIFS($F$2:$F$948,$A$2:$A$948,$A800,$B$2:$B$948,$B800),"BEST","")</f>
        <v/>
      </c>
    </row>
    <row r="801" customFormat="false" ht="15" hidden="false" customHeight="false" outlineLevel="0" collapsed="false">
      <c r="A801" s="16" t="s">
        <v>51</v>
      </c>
      <c r="B801" s="17" t="n">
        <v>6</v>
      </c>
      <c r="C801" s="17" t="s">
        <v>70</v>
      </c>
      <c r="D801" s="16" t="s">
        <v>68</v>
      </c>
      <c r="E801" s="17" t="n">
        <v>17</v>
      </c>
      <c r="F801" s="26" t="n">
        <v>0.00229457315148978</v>
      </c>
      <c r="G801" s="17" t="n">
        <v>21</v>
      </c>
      <c r="H801" s="17" t="n">
        <v>1500</v>
      </c>
      <c r="I801" s="17"/>
      <c r="J801" s="17" t="n">
        <v>5</v>
      </c>
      <c r="K801" s="17"/>
      <c r="L801" s="17"/>
      <c r="M801" s="17" t="n">
        <v>2</v>
      </c>
      <c r="N801" s="27" t="str">
        <f aca="false">IF(F801=_xlfn.MINIFS($F$2:$F$948,$A$2:$A$948,$A801,$B$2:$B$948,$B801),"BEST","")</f>
        <v/>
      </c>
    </row>
    <row r="802" customFormat="false" ht="15" hidden="false" customHeight="false" outlineLevel="0" collapsed="false">
      <c r="A802" s="16" t="s">
        <v>51</v>
      </c>
      <c r="B802" s="17" t="n">
        <v>6</v>
      </c>
      <c r="C802" s="17" t="s">
        <v>70</v>
      </c>
      <c r="D802" s="16" t="s">
        <v>68</v>
      </c>
      <c r="E802" s="17" t="n">
        <v>18</v>
      </c>
      <c r="F802" s="26" t="n">
        <v>0.00229457315148978</v>
      </c>
      <c r="G802" s="17" t="n">
        <v>21</v>
      </c>
      <c r="H802" s="17" t="n">
        <v>1500</v>
      </c>
      <c r="I802" s="17"/>
      <c r="J802" s="17" t="n">
        <v>5</v>
      </c>
      <c r="K802" s="17"/>
      <c r="L802" s="17"/>
      <c r="M802" s="17" t="n">
        <v>2</v>
      </c>
      <c r="N802" s="27" t="str">
        <f aca="false">IF(F802=_xlfn.MINIFS($F$2:$F$948,$A$2:$A$948,$A802,$B$2:$B$948,$B802),"BEST","")</f>
        <v/>
      </c>
    </row>
    <row r="803" customFormat="false" ht="15" hidden="false" customHeight="false" outlineLevel="0" collapsed="false">
      <c r="A803" s="16" t="s">
        <v>51</v>
      </c>
      <c r="B803" s="17" t="n">
        <v>6</v>
      </c>
      <c r="C803" s="17" t="s">
        <v>70</v>
      </c>
      <c r="D803" s="16" t="s">
        <v>68</v>
      </c>
      <c r="E803" s="17" t="n">
        <v>19</v>
      </c>
      <c r="F803" s="26" t="n">
        <v>0.00229457315148978</v>
      </c>
      <c r="G803" s="17" t="n">
        <v>21</v>
      </c>
      <c r="H803" s="17" t="n">
        <v>1500</v>
      </c>
      <c r="I803" s="17"/>
      <c r="J803" s="17" t="n">
        <v>5</v>
      </c>
      <c r="K803" s="17"/>
      <c r="L803" s="17"/>
      <c r="M803" s="17" t="n">
        <v>2</v>
      </c>
      <c r="N803" s="27" t="str">
        <f aca="false">IF(F803=_xlfn.MINIFS($F$2:$F$948,$A$2:$A$948,$A803,$B$2:$B$948,$B803),"BEST","")</f>
        <v/>
      </c>
    </row>
    <row r="804" customFormat="false" ht="15" hidden="false" customHeight="false" outlineLevel="0" collapsed="false">
      <c r="A804" s="22" t="s">
        <v>51</v>
      </c>
      <c r="B804" s="23" t="n">
        <v>6</v>
      </c>
      <c r="C804" s="23" t="s">
        <v>71</v>
      </c>
      <c r="D804" s="22" t="s">
        <v>72</v>
      </c>
      <c r="E804" s="23" t="n">
        <v>0</v>
      </c>
      <c r="F804" s="28" t="n">
        <v>0.0045200703889065</v>
      </c>
      <c r="G804" s="23" t="n">
        <v>96</v>
      </c>
      <c r="H804" s="23" t="n">
        <v>1500</v>
      </c>
      <c r="I804" s="23" t="n">
        <v>4</v>
      </c>
      <c r="J804" s="23" t="n">
        <v>5</v>
      </c>
      <c r="K804" s="22" t="s">
        <v>73</v>
      </c>
      <c r="L804" s="22" t="s">
        <v>74</v>
      </c>
      <c r="M804" s="23"/>
      <c r="N804" s="27" t="str">
        <f aca="false">IF(F804=_xlfn.MINIFS($F$2:$F$948,$A$2:$A$948,$A804,$B$2:$B$948,$B804),"BEST","")</f>
        <v/>
      </c>
    </row>
    <row r="805" customFormat="false" ht="15" hidden="false" customHeight="false" outlineLevel="0" collapsed="false">
      <c r="A805" s="22" t="s">
        <v>51</v>
      </c>
      <c r="B805" s="23" t="n">
        <v>6</v>
      </c>
      <c r="C805" s="23" t="s">
        <v>71</v>
      </c>
      <c r="D805" s="22" t="s">
        <v>72</v>
      </c>
      <c r="E805" s="23" t="n">
        <v>1</v>
      </c>
      <c r="F805" s="28" t="n">
        <v>0.00461966876089666</v>
      </c>
      <c r="G805" s="23" t="n">
        <v>96</v>
      </c>
      <c r="H805" s="23" t="n">
        <v>1500</v>
      </c>
      <c r="I805" s="23" t="n">
        <v>4</v>
      </c>
      <c r="J805" s="23" t="n">
        <v>5</v>
      </c>
      <c r="K805" s="22" t="s">
        <v>73</v>
      </c>
      <c r="L805" s="22" t="s">
        <v>74</v>
      </c>
      <c r="M805" s="23"/>
      <c r="N805" s="27" t="str">
        <f aca="false">IF(F805=_xlfn.MINIFS($F$2:$F$948,$A$2:$A$948,$A805,$B$2:$B$948,$B805),"BEST","")</f>
        <v/>
      </c>
    </row>
    <row r="806" customFormat="false" ht="15" hidden="false" customHeight="false" outlineLevel="0" collapsed="false">
      <c r="A806" s="22" t="s">
        <v>51</v>
      </c>
      <c r="B806" s="23" t="n">
        <v>6</v>
      </c>
      <c r="C806" s="23" t="s">
        <v>71</v>
      </c>
      <c r="D806" s="22" t="s">
        <v>72</v>
      </c>
      <c r="E806" s="23" t="n">
        <v>2</v>
      </c>
      <c r="F806" s="28" t="n">
        <v>0.00458117261266899</v>
      </c>
      <c r="G806" s="23" t="n">
        <v>96</v>
      </c>
      <c r="H806" s="23" t="n">
        <v>1500</v>
      </c>
      <c r="I806" s="23" t="n">
        <v>4</v>
      </c>
      <c r="J806" s="23" t="n">
        <v>5</v>
      </c>
      <c r="K806" s="22" t="s">
        <v>73</v>
      </c>
      <c r="L806" s="22" t="s">
        <v>74</v>
      </c>
      <c r="M806" s="23"/>
      <c r="N806" s="27" t="str">
        <f aca="false">IF(F806=_xlfn.MINIFS($F$2:$F$948,$A$2:$A$948,$A806,$B$2:$B$948,$B806),"BEST","")</f>
        <v/>
      </c>
    </row>
    <row r="807" customFormat="false" ht="15" hidden="false" customHeight="false" outlineLevel="0" collapsed="false">
      <c r="A807" s="22" t="s">
        <v>51</v>
      </c>
      <c r="B807" s="23" t="n">
        <v>6</v>
      </c>
      <c r="C807" s="23" t="s">
        <v>71</v>
      </c>
      <c r="D807" s="22" t="s">
        <v>72</v>
      </c>
      <c r="E807" s="23" t="n">
        <v>3</v>
      </c>
      <c r="F807" s="28" t="n">
        <v>0.0047450170383618</v>
      </c>
      <c r="G807" s="23" t="n">
        <v>96</v>
      </c>
      <c r="H807" s="23" t="n">
        <v>1500</v>
      </c>
      <c r="I807" s="23" t="n">
        <v>4</v>
      </c>
      <c r="J807" s="23" t="n">
        <v>5</v>
      </c>
      <c r="K807" s="22" t="s">
        <v>73</v>
      </c>
      <c r="L807" s="22" t="s">
        <v>74</v>
      </c>
      <c r="M807" s="23"/>
      <c r="N807" s="27" t="str">
        <f aca="false">IF(F807=_xlfn.MINIFS($F$2:$F$948,$A$2:$A$948,$A807,$B$2:$B$948,$B807),"BEST","")</f>
        <v/>
      </c>
    </row>
    <row r="808" customFormat="false" ht="15" hidden="false" customHeight="false" outlineLevel="0" collapsed="false">
      <c r="A808" s="22" t="s">
        <v>51</v>
      </c>
      <c r="B808" s="23" t="n">
        <v>6</v>
      </c>
      <c r="C808" s="23" t="s">
        <v>71</v>
      </c>
      <c r="D808" s="22" t="s">
        <v>72</v>
      </c>
      <c r="E808" s="23" t="n">
        <v>4</v>
      </c>
      <c r="F808" s="28" t="n">
        <v>0.00462513855427682</v>
      </c>
      <c r="G808" s="23" t="n">
        <v>96</v>
      </c>
      <c r="H808" s="23" t="n">
        <v>1500</v>
      </c>
      <c r="I808" s="23" t="n">
        <v>4</v>
      </c>
      <c r="J808" s="23" t="n">
        <v>5</v>
      </c>
      <c r="K808" s="22" t="s">
        <v>73</v>
      </c>
      <c r="L808" s="22" t="s">
        <v>74</v>
      </c>
      <c r="M808" s="23"/>
      <c r="N808" s="27" t="str">
        <f aca="false">IF(F808=_xlfn.MINIFS($F$2:$F$948,$A$2:$A$948,$A808,$B$2:$B$948,$B808),"BEST","")</f>
        <v/>
      </c>
    </row>
    <row r="809" customFormat="false" ht="15" hidden="false" customHeight="false" outlineLevel="0" collapsed="false">
      <c r="A809" s="22" t="s">
        <v>51</v>
      </c>
      <c r="B809" s="23" t="n">
        <v>6</v>
      </c>
      <c r="C809" s="23" t="s">
        <v>71</v>
      </c>
      <c r="D809" s="22" t="s">
        <v>72</v>
      </c>
      <c r="E809" s="23" t="n">
        <v>5</v>
      </c>
      <c r="F809" s="28" t="n">
        <v>0.0045289415983854</v>
      </c>
      <c r="G809" s="23" t="n">
        <v>96</v>
      </c>
      <c r="H809" s="23" t="n">
        <v>1500</v>
      </c>
      <c r="I809" s="23" t="n">
        <v>4</v>
      </c>
      <c r="J809" s="23" t="n">
        <v>5</v>
      </c>
      <c r="K809" s="22" t="s">
        <v>73</v>
      </c>
      <c r="L809" s="22" t="s">
        <v>74</v>
      </c>
      <c r="M809" s="23"/>
      <c r="N809" s="27" t="str">
        <f aca="false">IF(F809=_xlfn.MINIFS($F$2:$F$948,$A$2:$A$948,$A809,$B$2:$B$948,$B809),"BEST","")</f>
        <v/>
      </c>
    </row>
    <row r="810" customFormat="false" ht="15" hidden="false" customHeight="false" outlineLevel="0" collapsed="false">
      <c r="A810" s="22" t="s">
        <v>51</v>
      </c>
      <c r="B810" s="23" t="n">
        <v>6</v>
      </c>
      <c r="C810" s="23" t="s">
        <v>71</v>
      </c>
      <c r="D810" s="22" t="s">
        <v>72</v>
      </c>
      <c r="E810" s="23" t="n">
        <v>6</v>
      </c>
      <c r="F810" s="28" t="n">
        <v>0.00429215026723426</v>
      </c>
      <c r="G810" s="23" t="n">
        <v>96</v>
      </c>
      <c r="H810" s="23" t="n">
        <v>1500</v>
      </c>
      <c r="I810" s="23" t="n">
        <v>4</v>
      </c>
      <c r="J810" s="23" t="n">
        <v>5</v>
      </c>
      <c r="K810" s="22" t="s">
        <v>73</v>
      </c>
      <c r="L810" s="22" t="s">
        <v>74</v>
      </c>
      <c r="M810" s="23"/>
      <c r="N810" s="27" t="str">
        <f aca="false">IF(F810=_xlfn.MINIFS($F$2:$F$948,$A$2:$A$948,$A810,$B$2:$B$948,$B810),"BEST","")</f>
        <v/>
      </c>
    </row>
    <row r="811" customFormat="false" ht="15" hidden="false" customHeight="false" outlineLevel="0" collapsed="false">
      <c r="A811" s="22" t="s">
        <v>51</v>
      </c>
      <c r="B811" s="23" t="n">
        <v>6</v>
      </c>
      <c r="C811" s="23" t="s">
        <v>71</v>
      </c>
      <c r="D811" s="22" t="s">
        <v>72</v>
      </c>
      <c r="E811" s="23" t="n">
        <v>7</v>
      </c>
      <c r="F811" s="28" t="n">
        <v>0.00462871403947861</v>
      </c>
      <c r="G811" s="23" t="n">
        <v>96</v>
      </c>
      <c r="H811" s="23" t="n">
        <v>1500</v>
      </c>
      <c r="I811" s="23" t="n">
        <v>4</v>
      </c>
      <c r="J811" s="23" t="n">
        <v>5</v>
      </c>
      <c r="K811" s="22" t="s">
        <v>73</v>
      </c>
      <c r="L811" s="22" t="s">
        <v>74</v>
      </c>
      <c r="M811" s="23"/>
      <c r="N811" s="27" t="str">
        <f aca="false">IF(F811=_xlfn.MINIFS($F$2:$F$948,$A$2:$A$948,$A811,$B$2:$B$948,$B811),"BEST","")</f>
        <v/>
      </c>
    </row>
    <row r="812" customFormat="false" ht="15" hidden="false" customHeight="false" outlineLevel="0" collapsed="false">
      <c r="A812" s="22" t="s">
        <v>51</v>
      </c>
      <c r="B812" s="23" t="n">
        <v>6</v>
      </c>
      <c r="C812" s="23" t="s">
        <v>71</v>
      </c>
      <c r="D812" s="22" t="s">
        <v>72</v>
      </c>
      <c r="E812" s="23" t="n">
        <v>8</v>
      </c>
      <c r="F812" s="28" t="n">
        <v>0.00436691045811832</v>
      </c>
      <c r="G812" s="23" t="n">
        <v>96</v>
      </c>
      <c r="H812" s="23" t="n">
        <v>1500</v>
      </c>
      <c r="I812" s="23" t="n">
        <v>4</v>
      </c>
      <c r="J812" s="23" t="n">
        <v>5</v>
      </c>
      <c r="K812" s="22" t="s">
        <v>73</v>
      </c>
      <c r="L812" s="22" t="s">
        <v>74</v>
      </c>
      <c r="M812" s="23"/>
      <c r="N812" s="27" t="str">
        <f aca="false">IF(F812=_xlfn.MINIFS($F$2:$F$948,$A$2:$A$948,$A812,$B$2:$B$948,$B812),"BEST","")</f>
        <v/>
      </c>
    </row>
    <row r="813" customFormat="false" ht="15" hidden="false" customHeight="false" outlineLevel="0" collapsed="false">
      <c r="A813" s="22" t="s">
        <v>51</v>
      </c>
      <c r="B813" s="23" t="n">
        <v>6</v>
      </c>
      <c r="C813" s="23" t="s">
        <v>71</v>
      </c>
      <c r="D813" s="22" t="s">
        <v>72</v>
      </c>
      <c r="E813" s="23" t="n">
        <v>9</v>
      </c>
      <c r="F813" s="28" t="n">
        <v>0.00465090838854252</v>
      </c>
      <c r="G813" s="23" t="n">
        <v>96</v>
      </c>
      <c r="H813" s="23" t="n">
        <v>1500</v>
      </c>
      <c r="I813" s="23" t="n">
        <v>4</v>
      </c>
      <c r="J813" s="23" t="n">
        <v>5</v>
      </c>
      <c r="K813" s="22" t="s">
        <v>73</v>
      </c>
      <c r="L813" s="22" t="s">
        <v>74</v>
      </c>
      <c r="M813" s="23"/>
      <c r="N813" s="27" t="str">
        <f aca="false">IF(F813=_xlfn.MINIFS($F$2:$F$948,$A$2:$A$948,$A813,$B$2:$B$948,$B813),"BEST","")</f>
        <v/>
      </c>
    </row>
    <row r="814" customFormat="false" ht="15" hidden="false" customHeight="false" outlineLevel="0" collapsed="false">
      <c r="A814" s="16" t="s">
        <v>51</v>
      </c>
      <c r="B814" s="17" t="n">
        <v>8</v>
      </c>
      <c r="C814" s="17" t="s">
        <v>67</v>
      </c>
      <c r="D814" s="16" t="s">
        <v>68</v>
      </c>
      <c r="E814" s="17" t="n">
        <v>0</v>
      </c>
      <c r="F814" s="26" t="n">
        <v>0.00143325024211503</v>
      </c>
      <c r="G814" s="17" t="n">
        <v>128</v>
      </c>
      <c r="H814" s="17" t="n">
        <v>1200</v>
      </c>
      <c r="I814" s="17"/>
      <c r="J814" s="17" t="n">
        <v>5</v>
      </c>
      <c r="K814" s="17"/>
      <c r="L814" s="17"/>
      <c r="M814" s="17"/>
      <c r="N814" s="27" t="str">
        <f aca="false">IF(F814=_xlfn.MINIFS($F$2:$F$948,$A$2:$A$948,$A814,$B$2:$B$948,$B814),"BEST","")</f>
        <v/>
      </c>
    </row>
    <row r="815" customFormat="false" ht="15" hidden="false" customHeight="false" outlineLevel="0" collapsed="false">
      <c r="A815" s="16" t="s">
        <v>51</v>
      </c>
      <c r="B815" s="17" t="n">
        <v>8</v>
      </c>
      <c r="C815" s="17" t="s">
        <v>67</v>
      </c>
      <c r="D815" s="16" t="s">
        <v>68</v>
      </c>
      <c r="E815" s="17" t="n">
        <v>1</v>
      </c>
      <c r="F815" s="26" t="n">
        <v>0.00147140517845004</v>
      </c>
      <c r="G815" s="17" t="n">
        <v>128</v>
      </c>
      <c r="H815" s="17" t="n">
        <v>1200</v>
      </c>
      <c r="I815" s="17"/>
      <c r="J815" s="17" t="n">
        <v>5</v>
      </c>
      <c r="K815" s="17"/>
      <c r="L815" s="17"/>
      <c r="M815" s="17"/>
      <c r="N815" s="27" t="str">
        <f aca="false">IF(F815=_xlfn.MINIFS($F$2:$F$948,$A$2:$A$948,$A815,$B$2:$B$948,$B815),"BEST","")</f>
        <v/>
      </c>
    </row>
    <row r="816" customFormat="false" ht="15" hidden="false" customHeight="false" outlineLevel="0" collapsed="false">
      <c r="A816" s="16" t="s">
        <v>51</v>
      </c>
      <c r="B816" s="17" t="n">
        <v>8</v>
      </c>
      <c r="C816" s="17" t="s">
        <v>67</v>
      </c>
      <c r="D816" s="16" t="s">
        <v>68</v>
      </c>
      <c r="E816" s="17" t="n">
        <v>2</v>
      </c>
      <c r="F816" s="26" t="n">
        <v>0.00144767847221481</v>
      </c>
      <c r="G816" s="17" t="n">
        <v>128</v>
      </c>
      <c r="H816" s="17" t="n">
        <v>1200</v>
      </c>
      <c r="I816" s="17"/>
      <c r="J816" s="17" t="n">
        <v>5</v>
      </c>
      <c r="K816" s="17"/>
      <c r="L816" s="17"/>
      <c r="M816" s="17"/>
      <c r="N816" s="27" t="str">
        <f aca="false">IF(F816=_xlfn.MINIFS($F$2:$F$948,$A$2:$A$948,$A816,$B$2:$B$948,$B816),"BEST","")</f>
        <v/>
      </c>
    </row>
    <row r="817" customFormat="false" ht="15" hidden="false" customHeight="false" outlineLevel="0" collapsed="false">
      <c r="A817" s="16" t="s">
        <v>51</v>
      </c>
      <c r="B817" s="17" t="n">
        <v>8</v>
      </c>
      <c r="C817" s="17" t="s">
        <v>67</v>
      </c>
      <c r="D817" s="16" t="s">
        <v>68</v>
      </c>
      <c r="E817" s="17" t="n">
        <v>3</v>
      </c>
      <c r="F817" s="26" t="n">
        <v>0.00144360456711308</v>
      </c>
      <c r="G817" s="17" t="n">
        <v>128</v>
      </c>
      <c r="H817" s="17" t="n">
        <v>1200</v>
      </c>
      <c r="I817" s="17"/>
      <c r="J817" s="17" t="n">
        <v>5</v>
      </c>
      <c r="K817" s="17"/>
      <c r="L817" s="17"/>
      <c r="M817" s="17"/>
      <c r="N817" s="27" t="str">
        <f aca="false">IF(F817=_xlfn.MINIFS($F$2:$F$948,$A$2:$A$948,$A817,$B$2:$B$948,$B817),"BEST","")</f>
        <v/>
      </c>
    </row>
    <row r="818" customFormat="false" ht="15" hidden="false" customHeight="false" outlineLevel="0" collapsed="false">
      <c r="A818" s="16" t="s">
        <v>51</v>
      </c>
      <c r="B818" s="17" t="n">
        <v>8</v>
      </c>
      <c r="C818" s="17" t="s">
        <v>67</v>
      </c>
      <c r="D818" s="16" t="s">
        <v>68</v>
      </c>
      <c r="E818" s="17" t="n">
        <v>4</v>
      </c>
      <c r="F818" s="26" t="n">
        <v>0.00139231496209577</v>
      </c>
      <c r="G818" s="17" t="n">
        <v>128</v>
      </c>
      <c r="H818" s="17" t="n">
        <v>1200</v>
      </c>
      <c r="I818" s="17"/>
      <c r="J818" s="17" t="n">
        <v>5</v>
      </c>
      <c r="K818" s="17"/>
      <c r="L818" s="17"/>
      <c r="M818" s="17"/>
      <c r="N818" s="27" t="str">
        <f aca="false">IF(F818=_xlfn.MINIFS($F$2:$F$948,$A$2:$A$948,$A818,$B$2:$B$948,$B818),"BEST","")</f>
        <v/>
      </c>
    </row>
    <row r="819" customFormat="false" ht="15" hidden="false" customHeight="false" outlineLevel="0" collapsed="false">
      <c r="A819" s="16" t="s">
        <v>51</v>
      </c>
      <c r="B819" s="17" t="n">
        <v>8</v>
      </c>
      <c r="C819" s="17" t="s">
        <v>67</v>
      </c>
      <c r="D819" s="16" t="s">
        <v>68</v>
      </c>
      <c r="E819" s="17" t="n">
        <v>5</v>
      </c>
      <c r="F819" s="26" t="n">
        <v>0.00140963969955795</v>
      </c>
      <c r="G819" s="17" t="n">
        <v>128</v>
      </c>
      <c r="H819" s="17" t="n">
        <v>1200</v>
      </c>
      <c r="I819" s="17"/>
      <c r="J819" s="17" t="n">
        <v>5</v>
      </c>
      <c r="K819" s="17"/>
      <c r="L819" s="17"/>
      <c r="M819" s="17"/>
      <c r="N819" s="27" t="str">
        <f aca="false">IF(F819=_xlfn.MINIFS($F$2:$F$948,$A$2:$A$948,$A819,$B$2:$B$948,$B819),"BEST","")</f>
        <v/>
      </c>
    </row>
    <row r="820" customFormat="false" ht="15" hidden="false" customHeight="false" outlineLevel="0" collapsed="false">
      <c r="A820" s="16" t="s">
        <v>51</v>
      </c>
      <c r="B820" s="17" t="n">
        <v>8</v>
      </c>
      <c r="C820" s="17" t="s">
        <v>67</v>
      </c>
      <c r="D820" s="16" t="s">
        <v>68</v>
      </c>
      <c r="E820" s="17" t="n">
        <v>6</v>
      </c>
      <c r="F820" s="26" t="n">
        <v>0.00135244373981024</v>
      </c>
      <c r="G820" s="17" t="n">
        <v>128</v>
      </c>
      <c r="H820" s="17" t="n">
        <v>1200</v>
      </c>
      <c r="I820" s="17"/>
      <c r="J820" s="17" t="n">
        <v>5</v>
      </c>
      <c r="K820" s="17"/>
      <c r="L820" s="17"/>
      <c r="M820" s="17"/>
      <c r="N820" s="27" t="str">
        <f aca="false">IF(F820=_xlfn.MINIFS($F$2:$F$948,$A$2:$A$948,$A820,$B$2:$B$948,$B820),"BEST","")</f>
        <v>BEST</v>
      </c>
    </row>
    <row r="821" customFormat="false" ht="15" hidden="false" customHeight="false" outlineLevel="0" collapsed="false">
      <c r="A821" s="16" t="s">
        <v>51</v>
      </c>
      <c r="B821" s="17" t="n">
        <v>8</v>
      </c>
      <c r="C821" s="17" t="s">
        <v>67</v>
      </c>
      <c r="D821" s="16" t="s">
        <v>68</v>
      </c>
      <c r="E821" s="17" t="n">
        <v>7</v>
      </c>
      <c r="F821" s="26" t="n">
        <v>0.00143272652970296</v>
      </c>
      <c r="G821" s="17" t="n">
        <v>128</v>
      </c>
      <c r="H821" s="17" t="n">
        <v>1200</v>
      </c>
      <c r="I821" s="17"/>
      <c r="J821" s="17" t="n">
        <v>5</v>
      </c>
      <c r="K821" s="17"/>
      <c r="L821" s="17"/>
      <c r="M821" s="17"/>
      <c r="N821" s="27" t="str">
        <f aca="false">IF(F821=_xlfn.MINIFS($F$2:$F$948,$A$2:$A$948,$A821,$B$2:$B$948,$B821),"BEST","")</f>
        <v/>
      </c>
    </row>
    <row r="822" customFormat="false" ht="15" hidden="false" customHeight="false" outlineLevel="0" collapsed="false">
      <c r="A822" s="16" t="s">
        <v>51</v>
      </c>
      <c r="B822" s="17" t="n">
        <v>8</v>
      </c>
      <c r="C822" s="17" t="s">
        <v>67</v>
      </c>
      <c r="D822" s="16" t="s">
        <v>68</v>
      </c>
      <c r="E822" s="17" t="n">
        <v>8</v>
      </c>
      <c r="F822" s="26" t="n">
        <v>0.00146390444084298</v>
      </c>
      <c r="G822" s="17" t="n">
        <v>128</v>
      </c>
      <c r="H822" s="17" t="n">
        <v>1200</v>
      </c>
      <c r="I822" s="17"/>
      <c r="J822" s="17" t="n">
        <v>5</v>
      </c>
      <c r="K822" s="17"/>
      <c r="L822" s="17"/>
      <c r="M822" s="17"/>
      <c r="N822" s="27" t="str">
        <f aca="false">IF(F822=_xlfn.MINIFS($F$2:$F$948,$A$2:$A$948,$A822,$B$2:$B$948,$B822),"BEST","")</f>
        <v/>
      </c>
    </row>
    <row r="823" customFormat="false" ht="15" hidden="false" customHeight="false" outlineLevel="0" collapsed="false">
      <c r="A823" s="16" t="s">
        <v>51</v>
      </c>
      <c r="B823" s="17" t="n">
        <v>8</v>
      </c>
      <c r="C823" s="17" t="s">
        <v>67</v>
      </c>
      <c r="D823" s="16" t="s">
        <v>68</v>
      </c>
      <c r="E823" s="17" t="n">
        <v>9</v>
      </c>
      <c r="F823" s="26" t="n">
        <v>0.00148036299965187</v>
      </c>
      <c r="G823" s="17" t="n">
        <v>128</v>
      </c>
      <c r="H823" s="17" t="n">
        <v>1200</v>
      </c>
      <c r="I823" s="17"/>
      <c r="J823" s="17" t="n">
        <v>5</v>
      </c>
      <c r="K823" s="17"/>
      <c r="L823" s="17"/>
      <c r="M823" s="17"/>
      <c r="N823" s="27" t="str">
        <f aca="false">IF(F823=_xlfn.MINIFS($F$2:$F$948,$A$2:$A$948,$A823,$B$2:$B$948,$B823),"BEST","")</f>
        <v/>
      </c>
    </row>
    <row r="824" customFormat="false" ht="15" hidden="false" customHeight="false" outlineLevel="0" collapsed="false">
      <c r="A824" s="16" t="s">
        <v>51</v>
      </c>
      <c r="B824" s="17" t="n">
        <v>8</v>
      </c>
      <c r="C824" s="17" t="s">
        <v>67</v>
      </c>
      <c r="D824" s="16" t="s">
        <v>68</v>
      </c>
      <c r="E824" s="17" t="n">
        <v>10</v>
      </c>
      <c r="F824" s="26" t="n">
        <v>0.00148855133259362</v>
      </c>
      <c r="G824" s="17" t="n">
        <v>128</v>
      </c>
      <c r="H824" s="17" t="n">
        <v>1200</v>
      </c>
      <c r="I824" s="17"/>
      <c r="J824" s="17" t="n">
        <v>5</v>
      </c>
      <c r="K824" s="17"/>
      <c r="L824" s="17"/>
      <c r="M824" s="17"/>
      <c r="N824" s="27" t="str">
        <f aca="false">IF(F824=_xlfn.MINIFS($F$2:$F$948,$A$2:$A$948,$A824,$B$2:$B$948,$B824),"BEST","")</f>
        <v/>
      </c>
    </row>
    <row r="825" customFormat="false" ht="15" hidden="false" customHeight="false" outlineLevel="0" collapsed="false">
      <c r="A825" s="16" t="s">
        <v>51</v>
      </c>
      <c r="B825" s="17" t="n">
        <v>8</v>
      </c>
      <c r="C825" s="17" t="s">
        <v>67</v>
      </c>
      <c r="D825" s="16" t="s">
        <v>68</v>
      </c>
      <c r="E825" s="17" t="n">
        <v>11</v>
      </c>
      <c r="F825" s="26" t="n">
        <v>0.00143935582915333</v>
      </c>
      <c r="G825" s="17" t="n">
        <v>128</v>
      </c>
      <c r="H825" s="17" t="n">
        <v>1200</v>
      </c>
      <c r="I825" s="17"/>
      <c r="J825" s="17" t="n">
        <v>5</v>
      </c>
      <c r="K825" s="17"/>
      <c r="L825" s="17"/>
      <c r="M825" s="17"/>
      <c r="N825" s="27" t="str">
        <f aca="false">IF(F825=_xlfn.MINIFS($F$2:$F$948,$A$2:$A$948,$A825,$B$2:$B$948,$B825),"BEST","")</f>
        <v/>
      </c>
    </row>
    <row r="826" customFormat="false" ht="15" hidden="false" customHeight="false" outlineLevel="0" collapsed="false">
      <c r="A826" s="16" t="s">
        <v>51</v>
      </c>
      <c r="B826" s="17" t="n">
        <v>8</v>
      </c>
      <c r="C826" s="17" t="s">
        <v>67</v>
      </c>
      <c r="D826" s="16" t="s">
        <v>68</v>
      </c>
      <c r="E826" s="17" t="n">
        <v>12</v>
      </c>
      <c r="F826" s="26" t="n">
        <v>0.00142876797954919</v>
      </c>
      <c r="G826" s="17" t="n">
        <v>128</v>
      </c>
      <c r="H826" s="17" t="n">
        <v>1200</v>
      </c>
      <c r="I826" s="17"/>
      <c r="J826" s="17" t="n">
        <v>5</v>
      </c>
      <c r="K826" s="17"/>
      <c r="L826" s="17"/>
      <c r="M826" s="17"/>
      <c r="N826" s="27" t="str">
        <f aca="false">IF(F826=_xlfn.MINIFS($F$2:$F$948,$A$2:$A$948,$A826,$B$2:$B$948,$B826),"BEST","")</f>
        <v/>
      </c>
    </row>
    <row r="827" customFormat="false" ht="15" hidden="false" customHeight="false" outlineLevel="0" collapsed="false">
      <c r="A827" s="16" t="s">
        <v>51</v>
      </c>
      <c r="B827" s="17" t="n">
        <v>8</v>
      </c>
      <c r="C827" s="17" t="s">
        <v>67</v>
      </c>
      <c r="D827" s="16" t="s">
        <v>68</v>
      </c>
      <c r="E827" s="17" t="n">
        <v>13</v>
      </c>
      <c r="F827" s="26" t="n">
        <v>0.00140096542586327</v>
      </c>
      <c r="G827" s="17" t="n">
        <v>128</v>
      </c>
      <c r="H827" s="17" t="n">
        <v>1200</v>
      </c>
      <c r="I827" s="17"/>
      <c r="J827" s="17" t="n">
        <v>5</v>
      </c>
      <c r="K827" s="17"/>
      <c r="L827" s="17"/>
      <c r="M827" s="17"/>
      <c r="N827" s="27" t="str">
        <f aca="false">IF(F827=_xlfn.MINIFS($F$2:$F$948,$A$2:$A$948,$A827,$B$2:$B$948,$B827),"BEST","")</f>
        <v/>
      </c>
    </row>
    <row r="828" customFormat="false" ht="15" hidden="false" customHeight="false" outlineLevel="0" collapsed="false">
      <c r="A828" s="16" t="s">
        <v>51</v>
      </c>
      <c r="B828" s="17" t="n">
        <v>8</v>
      </c>
      <c r="C828" s="17" t="s">
        <v>67</v>
      </c>
      <c r="D828" s="16" t="s">
        <v>68</v>
      </c>
      <c r="E828" s="17" t="n">
        <v>14</v>
      </c>
      <c r="F828" s="26" t="n">
        <v>0.00145887424070235</v>
      </c>
      <c r="G828" s="17" t="n">
        <v>128</v>
      </c>
      <c r="H828" s="17" t="n">
        <v>1200</v>
      </c>
      <c r="I828" s="17"/>
      <c r="J828" s="17" t="n">
        <v>5</v>
      </c>
      <c r="K828" s="17"/>
      <c r="L828" s="17"/>
      <c r="M828" s="17"/>
      <c r="N828" s="27" t="str">
        <f aca="false">IF(F828=_xlfn.MINIFS($F$2:$F$948,$A$2:$A$948,$A828,$B$2:$B$948,$B828),"BEST","")</f>
        <v/>
      </c>
    </row>
    <row r="829" customFormat="false" ht="15" hidden="false" customHeight="false" outlineLevel="0" collapsed="false">
      <c r="A829" s="16" t="s">
        <v>51</v>
      </c>
      <c r="B829" s="17" t="n">
        <v>8</v>
      </c>
      <c r="C829" s="17" t="s">
        <v>67</v>
      </c>
      <c r="D829" s="16" t="s">
        <v>68</v>
      </c>
      <c r="E829" s="17" t="n">
        <v>15</v>
      </c>
      <c r="F829" s="26" t="n">
        <v>0.00142377053824676</v>
      </c>
      <c r="G829" s="17" t="n">
        <v>128</v>
      </c>
      <c r="H829" s="17" t="n">
        <v>1200</v>
      </c>
      <c r="I829" s="17"/>
      <c r="J829" s="17" t="n">
        <v>5</v>
      </c>
      <c r="K829" s="17"/>
      <c r="L829" s="17"/>
      <c r="M829" s="17"/>
      <c r="N829" s="27" t="str">
        <f aca="false">IF(F829=_xlfn.MINIFS($F$2:$F$948,$A$2:$A$948,$A829,$B$2:$B$948,$B829),"BEST","")</f>
        <v/>
      </c>
    </row>
    <row r="830" customFormat="false" ht="15" hidden="false" customHeight="false" outlineLevel="0" collapsed="false">
      <c r="A830" s="16" t="s">
        <v>51</v>
      </c>
      <c r="B830" s="17" t="n">
        <v>8</v>
      </c>
      <c r="C830" s="17" t="s">
        <v>67</v>
      </c>
      <c r="D830" s="16" t="s">
        <v>68</v>
      </c>
      <c r="E830" s="17" t="n">
        <v>16</v>
      </c>
      <c r="F830" s="26" t="n">
        <v>0.00145824137990484</v>
      </c>
      <c r="G830" s="17" t="n">
        <v>128</v>
      </c>
      <c r="H830" s="17" t="n">
        <v>1200</v>
      </c>
      <c r="I830" s="17"/>
      <c r="J830" s="17" t="n">
        <v>5</v>
      </c>
      <c r="K830" s="17"/>
      <c r="L830" s="17"/>
      <c r="M830" s="17"/>
      <c r="N830" s="27" t="str">
        <f aca="false">IF(F830=_xlfn.MINIFS($F$2:$F$948,$A$2:$A$948,$A830,$B$2:$B$948,$B830),"BEST","")</f>
        <v/>
      </c>
    </row>
    <row r="831" customFormat="false" ht="15" hidden="false" customHeight="false" outlineLevel="0" collapsed="false">
      <c r="A831" s="16" t="s">
        <v>51</v>
      </c>
      <c r="B831" s="17" t="n">
        <v>8</v>
      </c>
      <c r="C831" s="17" t="s">
        <v>67</v>
      </c>
      <c r="D831" s="16" t="s">
        <v>68</v>
      </c>
      <c r="E831" s="17" t="n">
        <v>17</v>
      </c>
      <c r="F831" s="26" t="n">
        <v>0.00143311450381567</v>
      </c>
      <c r="G831" s="17" t="n">
        <v>128</v>
      </c>
      <c r="H831" s="17" t="n">
        <v>1200</v>
      </c>
      <c r="I831" s="17"/>
      <c r="J831" s="17" t="n">
        <v>5</v>
      </c>
      <c r="K831" s="17"/>
      <c r="L831" s="17"/>
      <c r="M831" s="17"/>
      <c r="N831" s="27" t="str">
        <f aca="false">IF(F831=_xlfn.MINIFS($F$2:$F$948,$A$2:$A$948,$A831,$B$2:$B$948,$B831),"BEST","")</f>
        <v/>
      </c>
    </row>
    <row r="832" customFormat="false" ht="15" hidden="false" customHeight="false" outlineLevel="0" collapsed="false">
      <c r="A832" s="16" t="s">
        <v>51</v>
      </c>
      <c r="B832" s="17" t="n">
        <v>8</v>
      </c>
      <c r="C832" s="17" t="s">
        <v>67</v>
      </c>
      <c r="D832" s="16" t="s">
        <v>68</v>
      </c>
      <c r="E832" s="17" t="n">
        <v>18</v>
      </c>
      <c r="F832" s="26" t="n">
        <v>0.00156017527056744</v>
      </c>
      <c r="G832" s="17" t="n">
        <v>128</v>
      </c>
      <c r="H832" s="17" t="n">
        <v>1200</v>
      </c>
      <c r="I832" s="17"/>
      <c r="J832" s="17" t="n">
        <v>5</v>
      </c>
      <c r="K832" s="17"/>
      <c r="L832" s="17"/>
      <c r="M832" s="17"/>
      <c r="N832" s="27" t="str">
        <f aca="false">IF(F832=_xlfn.MINIFS($F$2:$F$948,$A$2:$A$948,$A832,$B$2:$B$948,$B832),"BEST","")</f>
        <v/>
      </c>
    </row>
    <row r="833" customFormat="false" ht="15" hidden="false" customHeight="false" outlineLevel="0" collapsed="false">
      <c r="A833" s="16" t="s">
        <v>51</v>
      </c>
      <c r="B833" s="17" t="n">
        <v>8</v>
      </c>
      <c r="C833" s="17" t="s">
        <v>67</v>
      </c>
      <c r="D833" s="16" t="s">
        <v>68</v>
      </c>
      <c r="E833" s="17" t="n">
        <v>19</v>
      </c>
      <c r="F833" s="26" t="n">
        <v>0.00141428909747467</v>
      </c>
      <c r="G833" s="17" t="n">
        <v>128</v>
      </c>
      <c r="H833" s="17" t="n">
        <v>1200</v>
      </c>
      <c r="I833" s="17"/>
      <c r="J833" s="17" t="n">
        <v>5</v>
      </c>
      <c r="K833" s="17"/>
      <c r="L833" s="17"/>
      <c r="M833" s="17"/>
      <c r="N833" s="27" t="str">
        <f aca="false">IF(F833=_xlfn.MINIFS($F$2:$F$948,$A$2:$A$948,$A833,$B$2:$B$948,$B833),"BEST","")</f>
        <v/>
      </c>
    </row>
    <row r="834" customFormat="false" ht="15" hidden="false" customHeight="false" outlineLevel="0" collapsed="false">
      <c r="A834" s="16" t="s">
        <v>51</v>
      </c>
      <c r="B834" s="17" t="n">
        <v>8</v>
      </c>
      <c r="C834" s="17" t="s">
        <v>69</v>
      </c>
      <c r="D834" s="16" t="s">
        <v>68</v>
      </c>
      <c r="E834" s="17" t="n">
        <v>0</v>
      </c>
      <c r="F834" s="26" t="n">
        <v>0.00698208999118948</v>
      </c>
      <c r="G834" s="17" t="n">
        <v>128</v>
      </c>
      <c r="H834" s="17" t="n">
        <v>1200</v>
      </c>
      <c r="I834" s="17"/>
      <c r="J834" s="17" t="n">
        <v>5</v>
      </c>
      <c r="K834" s="17"/>
      <c r="L834" s="17"/>
      <c r="M834" s="17"/>
      <c r="N834" s="27" t="str">
        <f aca="false">IF(F834=_xlfn.MINIFS($F$2:$F$948,$A$2:$A$948,$A834,$B$2:$B$948,$B834),"BEST","")</f>
        <v/>
      </c>
    </row>
    <row r="835" customFormat="false" ht="15" hidden="false" customHeight="false" outlineLevel="0" collapsed="false">
      <c r="A835" s="16" t="s">
        <v>51</v>
      </c>
      <c r="B835" s="17" t="n">
        <v>8</v>
      </c>
      <c r="C835" s="17" t="s">
        <v>69</v>
      </c>
      <c r="D835" s="16" t="s">
        <v>68</v>
      </c>
      <c r="E835" s="17" t="n">
        <v>1</v>
      </c>
      <c r="F835" s="26" t="n">
        <v>0.00880694361469652</v>
      </c>
      <c r="G835" s="17" t="n">
        <v>128</v>
      </c>
      <c r="H835" s="17" t="n">
        <v>1200</v>
      </c>
      <c r="I835" s="17"/>
      <c r="J835" s="17" t="n">
        <v>5</v>
      </c>
      <c r="K835" s="17"/>
      <c r="L835" s="17"/>
      <c r="M835" s="17"/>
      <c r="N835" s="27" t="str">
        <f aca="false">IF(F835=_xlfn.MINIFS($F$2:$F$948,$A$2:$A$948,$A835,$B$2:$B$948,$B835),"BEST","")</f>
        <v/>
      </c>
    </row>
    <row r="836" customFormat="false" ht="15" hidden="false" customHeight="false" outlineLevel="0" collapsed="false">
      <c r="A836" s="16" t="s">
        <v>51</v>
      </c>
      <c r="B836" s="17" t="n">
        <v>8</v>
      </c>
      <c r="C836" s="17" t="s">
        <v>69</v>
      </c>
      <c r="D836" s="16" t="s">
        <v>68</v>
      </c>
      <c r="E836" s="17" t="n">
        <v>2</v>
      </c>
      <c r="F836" s="26" t="n">
        <v>0.0105834805558715</v>
      </c>
      <c r="G836" s="17" t="n">
        <v>128</v>
      </c>
      <c r="H836" s="17" t="n">
        <v>1200</v>
      </c>
      <c r="I836" s="17"/>
      <c r="J836" s="17" t="n">
        <v>5</v>
      </c>
      <c r="K836" s="17"/>
      <c r="L836" s="17"/>
      <c r="M836" s="17"/>
      <c r="N836" s="27" t="str">
        <f aca="false">IF(F836=_xlfn.MINIFS($F$2:$F$948,$A$2:$A$948,$A836,$B$2:$B$948,$B836),"BEST","")</f>
        <v/>
      </c>
    </row>
    <row r="837" customFormat="false" ht="15" hidden="false" customHeight="false" outlineLevel="0" collapsed="false">
      <c r="A837" s="16" t="s">
        <v>51</v>
      </c>
      <c r="B837" s="17" t="n">
        <v>8</v>
      </c>
      <c r="C837" s="17" t="s">
        <v>69</v>
      </c>
      <c r="D837" s="16" t="s">
        <v>68</v>
      </c>
      <c r="E837" s="17" t="n">
        <v>3</v>
      </c>
      <c r="F837" s="26" t="n">
        <v>0.00980232353212645</v>
      </c>
      <c r="G837" s="17" t="n">
        <v>128</v>
      </c>
      <c r="H837" s="17" t="n">
        <v>1200</v>
      </c>
      <c r="I837" s="17"/>
      <c r="J837" s="17" t="n">
        <v>5</v>
      </c>
      <c r="K837" s="17"/>
      <c r="L837" s="17"/>
      <c r="M837" s="17"/>
      <c r="N837" s="27" t="str">
        <f aca="false">IF(F837=_xlfn.MINIFS($F$2:$F$948,$A$2:$A$948,$A837,$B$2:$B$948,$B837),"BEST","")</f>
        <v/>
      </c>
    </row>
    <row r="838" customFormat="false" ht="15" hidden="false" customHeight="false" outlineLevel="0" collapsed="false">
      <c r="A838" s="16" t="s">
        <v>51</v>
      </c>
      <c r="B838" s="17" t="n">
        <v>8</v>
      </c>
      <c r="C838" s="17" t="s">
        <v>69</v>
      </c>
      <c r="D838" s="16" t="s">
        <v>68</v>
      </c>
      <c r="E838" s="17" t="n">
        <v>4</v>
      </c>
      <c r="F838" s="26" t="n">
        <v>0.00713881036199205</v>
      </c>
      <c r="G838" s="17" t="n">
        <v>128</v>
      </c>
      <c r="H838" s="17" t="n">
        <v>1200</v>
      </c>
      <c r="I838" s="17"/>
      <c r="J838" s="17" t="n">
        <v>5</v>
      </c>
      <c r="K838" s="17"/>
      <c r="L838" s="17"/>
      <c r="M838" s="17"/>
      <c r="N838" s="27" t="str">
        <f aca="false">IF(F838=_xlfn.MINIFS($F$2:$F$948,$A$2:$A$948,$A838,$B$2:$B$948,$B838),"BEST","")</f>
        <v/>
      </c>
    </row>
    <row r="839" customFormat="false" ht="15" hidden="false" customHeight="false" outlineLevel="0" collapsed="false">
      <c r="A839" s="16" t="s">
        <v>51</v>
      </c>
      <c r="B839" s="17" t="n">
        <v>8</v>
      </c>
      <c r="C839" s="17" t="s">
        <v>69</v>
      </c>
      <c r="D839" s="16" t="s">
        <v>68</v>
      </c>
      <c r="E839" s="17" t="n">
        <v>5</v>
      </c>
      <c r="F839" s="26" t="n">
        <v>0.00995110809493658</v>
      </c>
      <c r="G839" s="17" t="n">
        <v>128</v>
      </c>
      <c r="H839" s="17" t="n">
        <v>1200</v>
      </c>
      <c r="I839" s="17"/>
      <c r="J839" s="17" t="n">
        <v>5</v>
      </c>
      <c r="K839" s="17"/>
      <c r="L839" s="17"/>
      <c r="M839" s="17"/>
      <c r="N839" s="27" t="str">
        <f aca="false">IF(F839=_xlfn.MINIFS($F$2:$F$948,$A$2:$A$948,$A839,$B$2:$B$948,$B839),"BEST","")</f>
        <v/>
      </c>
    </row>
    <row r="840" customFormat="false" ht="15" hidden="false" customHeight="false" outlineLevel="0" collapsed="false">
      <c r="A840" s="16" t="s">
        <v>51</v>
      </c>
      <c r="B840" s="17" t="n">
        <v>8</v>
      </c>
      <c r="C840" s="17" t="s">
        <v>69</v>
      </c>
      <c r="D840" s="16" t="s">
        <v>68</v>
      </c>
      <c r="E840" s="17" t="n">
        <v>6</v>
      </c>
      <c r="F840" s="26" t="n">
        <v>0.00770913722438047</v>
      </c>
      <c r="G840" s="17" t="n">
        <v>128</v>
      </c>
      <c r="H840" s="17" t="n">
        <v>1200</v>
      </c>
      <c r="I840" s="17"/>
      <c r="J840" s="17" t="n">
        <v>5</v>
      </c>
      <c r="K840" s="17"/>
      <c r="L840" s="17"/>
      <c r="M840" s="17"/>
      <c r="N840" s="27" t="str">
        <f aca="false">IF(F840=_xlfn.MINIFS($F$2:$F$948,$A$2:$A$948,$A840,$B$2:$B$948,$B840),"BEST","")</f>
        <v/>
      </c>
    </row>
    <row r="841" customFormat="false" ht="15" hidden="false" customHeight="false" outlineLevel="0" collapsed="false">
      <c r="A841" s="16" t="s">
        <v>51</v>
      </c>
      <c r="B841" s="17" t="n">
        <v>8</v>
      </c>
      <c r="C841" s="17" t="s">
        <v>69</v>
      </c>
      <c r="D841" s="16" t="s">
        <v>68</v>
      </c>
      <c r="E841" s="17" t="n">
        <v>7</v>
      </c>
      <c r="F841" s="26" t="n">
        <v>0.00892436193006907</v>
      </c>
      <c r="G841" s="17" t="n">
        <v>128</v>
      </c>
      <c r="H841" s="17" t="n">
        <v>1200</v>
      </c>
      <c r="I841" s="17"/>
      <c r="J841" s="17" t="n">
        <v>5</v>
      </c>
      <c r="K841" s="17"/>
      <c r="L841" s="17"/>
      <c r="M841" s="17"/>
      <c r="N841" s="27" t="str">
        <f aca="false">IF(F841=_xlfn.MINIFS($F$2:$F$948,$A$2:$A$948,$A841,$B$2:$B$948,$B841),"BEST","")</f>
        <v/>
      </c>
    </row>
    <row r="842" customFormat="false" ht="15" hidden="false" customHeight="false" outlineLevel="0" collapsed="false">
      <c r="A842" s="16" t="s">
        <v>51</v>
      </c>
      <c r="B842" s="17" t="n">
        <v>8</v>
      </c>
      <c r="C842" s="17" t="s">
        <v>69</v>
      </c>
      <c r="D842" s="16" t="s">
        <v>68</v>
      </c>
      <c r="E842" s="17" t="n">
        <v>8</v>
      </c>
      <c r="F842" s="26" t="n">
        <v>0.00853315924912208</v>
      </c>
      <c r="G842" s="17" t="n">
        <v>128</v>
      </c>
      <c r="H842" s="17" t="n">
        <v>1200</v>
      </c>
      <c r="I842" s="17"/>
      <c r="J842" s="17" t="n">
        <v>5</v>
      </c>
      <c r="K842" s="17"/>
      <c r="L842" s="17"/>
      <c r="M842" s="17"/>
      <c r="N842" s="27" t="str">
        <f aca="false">IF(F842=_xlfn.MINIFS($F$2:$F$948,$A$2:$A$948,$A842,$B$2:$B$948,$B842),"BEST","")</f>
        <v/>
      </c>
    </row>
    <row r="843" customFormat="false" ht="15" hidden="false" customHeight="false" outlineLevel="0" collapsed="false">
      <c r="A843" s="16" t="s">
        <v>51</v>
      </c>
      <c r="B843" s="17" t="n">
        <v>8</v>
      </c>
      <c r="C843" s="17" t="s">
        <v>69</v>
      </c>
      <c r="D843" s="16" t="s">
        <v>68</v>
      </c>
      <c r="E843" s="17" t="n">
        <v>9</v>
      </c>
      <c r="F843" s="26" t="n">
        <v>0.00920626559151074</v>
      </c>
      <c r="G843" s="17" t="n">
        <v>128</v>
      </c>
      <c r="H843" s="17" t="n">
        <v>1200</v>
      </c>
      <c r="I843" s="17"/>
      <c r="J843" s="17" t="n">
        <v>5</v>
      </c>
      <c r="K843" s="17"/>
      <c r="L843" s="17"/>
      <c r="M843" s="17"/>
      <c r="N843" s="27" t="str">
        <f aca="false">IF(F843=_xlfn.MINIFS($F$2:$F$948,$A$2:$A$948,$A843,$B$2:$B$948,$B843),"BEST","")</f>
        <v/>
      </c>
    </row>
    <row r="844" customFormat="false" ht="15" hidden="false" customHeight="false" outlineLevel="0" collapsed="false">
      <c r="A844" s="16" t="s">
        <v>51</v>
      </c>
      <c r="B844" s="17" t="n">
        <v>8</v>
      </c>
      <c r="C844" s="17" t="s">
        <v>69</v>
      </c>
      <c r="D844" s="16" t="s">
        <v>68</v>
      </c>
      <c r="E844" s="17" t="n">
        <v>10</v>
      </c>
      <c r="F844" s="26" t="n">
        <v>0.00901661947635129</v>
      </c>
      <c r="G844" s="17" t="n">
        <v>128</v>
      </c>
      <c r="H844" s="17" t="n">
        <v>1200</v>
      </c>
      <c r="I844" s="17"/>
      <c r="J844" s="17" t="n">
        <v>5</v>
      </c>
      <c r="K844" s="17"/>
      <c r="L844" s="17"/>
      <c r="M844" s="17"/>
      <c r="N844" s="27" t="str">
        <f aca="false">IF(F844=_xlfn.MINIFS($F$2:$F$948,$A$2:$A$948,$A844,$B$2:$B$948,$B844),"BEST","")</f>
        <v/>
      </c>
    </row>
    <row r="845" customFormat="false" ht="15" hidden="false" customHeight="false" outlineLevel="0" collapsed="false">
      <c r="A845" s="16" t="s">
        <v>51</v>
      </c>
      <c r="B845" s="17" t="n">
        <v>8</v>
      </c>
      <c r="C845" s="17" t="s">
        <v>69</v>
      </c>
      <c r="D845" s="16" t="s">
        <v>68</v>
      </c>
      <c r="E845" s="17" t="n">
        <v>11</v>
      </c>
      <c r="F845" s="26" t="n">
        <v>0.0111055080157797</v>
      </c>
      <c r="G845" s="17" t="n">
        <v>128</v>
      </c>
      <c r="H845" s="17" t="n">
        <v>1200</v>
      </c>
      <c r="I845" s="17"/>
      <c r="J845" s="17" t="n">
        <v>5</v>
      </c>
      <c r="K845" s="17"/>
      <c r="L845" s="17"/>
      <c r="M845" s="17"/>
      <c r="N845" s="27" t="str">
        <f aca="false">IF(F845=_xlfn.MINIFS($F$2:$F$948,$A$2:$A$948,$A845,$B$2:$B$948,$B845),"BEST","")</f>
        <v/>
      </c>
    </row>
    <row r="846" customFormat="false" ht="15" hidden="false" customHeight="false" outlineLevel="0" collapsed="false">
      <c r="A846" s="16" t="s">
        <v>51</v>
      </c>
      <c r="B846" s="17" t="n">
        <v>8</v>
      </c>
      <c r="C846" s="17" t="s">
        <v>69</v>
      </c>
      <c r="D846" s="16" t="s">
        <v>68</v>
      </c>
      <c r="E846" s="17" t="n">
        <v>12</v>
      </c>
      <c r="F846" s="26" t="n">
        <v>0.0082821283624917</v>
      </c>
      <c r="G846" s="17" t="n">
        <v>128</v>
      </c>
      <c r="H846" s="17" t="n">
        <v>1200</v>
      </c>
      <c r="I846" s="17"/>
      <c r="J846" s="17" t="n">
        <v>5</v>
      </c>
      <c r="K846" s="17"/>
      <c r="L846" s="17"/>
      <c r="M846" s="17"/>
      <c r="N846" s="27" t="str">
        <f aca="false">IF(F846=_xlfn.MINIFS($F$2:$F$948,$A$2:$A$948,$A846,$B$2:$B$948,$B846),"BEST","")</f>
        <v/>
      </c>
    </row>
    <row r="847" customFormat="false" ht="15" hidden="false" customHeight="false" outlineLevel="0" collapsed="false">
      <c r="A847" s="16" t="s">
        <v>51</v>
      </c>
      <c r="B847" s="17" t="n">
        <v>8</v>
      </c>
      <c r="C847" s="17" t="s">
        <v>69</v>
      </c>
      <c r="D847" s="16" t="s">
        <v>68</v>
      </c>
      <c r="E847" s="17" t="n">
        <v>13</v>
      </c>
      <c r="F847" s="26" t="n">
        <v>0.00959481734877119</v>
      </c>
      <c r="G847" s="17" t="n">
        <v>128</v>
      </c>
      <c r="H847" s="17" t="n">
        <v>1200</v>
      </c>
      <c r="I847" s="17"/>
      <c r="J847" s="17" t="n">
        <v>5</v>
      </c>
      <c r="K847" s="17"/>
      <c r="L847" s="17"/>
      <c r="M847" s="17"/>
      <c r="N847" s="27" t="str">
        <f aca="false">IF(F847=_xlfn.MINIFS($F$2:$F$948,$A$2:$A$948,$A847,$B$2:$B$948,$B847),"BEST","")</f>
        <v/>
      </c>
    </row>
    <row r="848" customFormat="false" ht="15" hidden="false" customHeight="false" outlineLevel="0" collapsed="false">
      <c r="A848" s="16" t="s">
        <v>51</v>
      </c>
      <c r="B848" s="17" t="n">
        <v>8</v>
      </c>
      <c r="C848" s="17" t="s">
        <v>69</v>
      </c>
      <c r="D848" s="16" t="s">
        <v>68</v>
      </c>
      <c r="E848" s="17" t="n">
        <v>14</v>
      </c>
      <c r="F848" s="26" t="n">
        <v>0.00861669324059488</v>
      </c>
      <c r="G848" s="17" t="n">
        <v>128</v>
      </c>
      <c r="H848" s="17" t="n">
        <v>1200</v>
      </c>
      <c r="I848" s="17"/>
      <c r="J848" s="17" t="n">
        <v>5</v>
      </c>
      <c r="K848" s="17"/>
      <c r="L848" s="17"/>
      <c r="M848" s="17"/>
      <c r="N848" s="27" t="str">
        <f aca="false">IF(F848=_xlfn.MINIFS($F$2:$F$948,$A$2:$A$948,$A848,$B$2:$B$948,$B848),"BEST","")</f>
        <v/>
      </c>
    </row>
    <row r="849" customFormat="false" ht="15" hidden="false" customHeight="false" outlineLevel="0" collapsed="false">
      <c r="A849" s="16" t="s">
        <v>51</v>
      </c>
      <c r="B849" s="17" t="n">
        <v>8</v>
      </c>
      <c r="C849" s="17" t="s">
        <v>69</v>
      </c>
      <c r="D849" s="16" t="s">
        <v>68</v>
      </c>
      <c r="E849" s="17" t="n">
        <v>15</v>
      </c>
      <c r="F849" s="26" t="n">
        <v>0.00750997787567508</v>
      </c>
      <c r="G849" s="17" t="n">
        <v>128</v>
      </c>
      <c r="H849" s="17" t="n">
        <v>1200</v>
      </c>
      <c r="I849" s="17"/>
      <c r="J849" s="17" t="n">
        <v>5</v>
      </c>
      <c r="K849" s="17"/>
      <c r="L849" s="17"/>
      <c r="M849" s="17"/>
      <c r="N849" s="27" t="str">
        <f aca="false">IF(F849=_xlfn.MINIFS($F$2:$F$948,$A$2:$A$948,$A849,$B$2:$B$948,$B849),"BEST","")</f>
        <v/>
      </c>
    </row>
    <row r="850" customFormat="false" ht="15" hidden="false" customHeight="false" outlineLevel="0" collapsed="false">
      <c r="A850" s="16" t="s">
        <v>51</v>
      </c>
      <c r="B850" s="17" t="n">
        <v>8</v>
      </c>
      <c r="C850" s="17" t="s">
        <v>69</v>
      </c>
      <c r="D850" s="16" t="s">
        <v>68</v>
      </c>
      <c r="E850" s="17" t="n">
        <v>16</v>
      </c>
      <c r="F850" s="26" t="n">
        <v>0.00890081653652827</v>
      </c>
      <c r="G850" s="17" t="n">
        <v>128</v>
      </c>
      <c r="H850" s="17" t="n">
        <v>1200</v>
      </c>
      <c r="I850" s="17"/>
      <c r="J850" s="17" t="n">
        <v>5</v>
      </c>
      <c r="K850" s="17"/>
      <c r="L850" s="17"/>
      <c r="M850" s="17"/>
      <c r="N850" s="27" t="str">
        <f aca="false">IF(F850=_xlfn.MINIFS($F$2:$F$948,$A$2:$A$948,$A850,$B$2:$B$948,$B850),"BEST","")</f>
        <v/>
      </c>
    </row>
    <row r="851" customFormat="false" ht="15" hidden="false" customHeight="false" outlineLevel="0" collapsed="false">
      <c r="A851" s="16" t="s">
        <v>51</v>
      </c>
      <c r="B851" s="17" t="n">
        <v>8</v>
      </c>
      <c r="C851" s="17" t="s">
        <v>69</v>
      </c>
      <c r="D851" s="16" t="s">
        <v>68</v>
      </c>
      <c r="E851" s="17" t="n">
        <v>17</v>
      </c>
      <c r="F851" s="26" t="n">
        <v>0.00944604788207743</v>
      </c>
      <c r="G851" s="17" t="n">
        <v>128</v>
      </c>
      <c r="H851" s="17" t="n">
        <v>1200</v>
      </c>
      <c r="I851" s="17"/>
      <c r="J851" s="17" t="n">
        <v>5</v>
      </c>
      <c r="K851" s="17"/>
      <c r="L851" s="17"/>
      <c r="M851" s="17"/>
      <c r="N851" s="27" t="str">
        <f aca="false">IF(F851=_xlfn.MINIFS($F$2:$F$948,$A$2:$A$948,$A851,$B$2:$B$948,$B851),"BEST","")</f>
        <v/>
      </c>
    </row>
    <row r="852" customFormat="false" ht="15" hidden="false" customHeight="false" outlineLevel="0" collapsed="false">
      <c r="A852" s="16" t="s">
        <v>51</v>
      </c>
      <c r="B852" s="17" t="n">
        <v>8</v>
      </c>
      <c r="C852" s="17" t="s">
        <v>69</v>
      </c>
      <c r="D852" s="16" t="s">
        <v>68</v>
      </c>
      <c r="E852" s="17" t="n">
        <v>18</v>
      </c>
      <c r="F852" s="26" t="n">
        <v>0.00864411093566071</v>
      </c>
      <c r="G852" s="17" t="n">
        <v>128</v>
      </c>
      <c r="H852" s="17" t="n">
        <v>1200</v>
      </c>
      <c r="I852" s="17"/>
      <c r="J852" s="17" t="n">
        <v>5</v>
      </c>
      <c r="K852" s="17"/>
      <c r="L852" s="17"/>
      <c r="M852" s="17"/>
      <c r="N852" s="27" t="str">
        <f aca="false">IF(F852=_xlfn.MINIFS($F$2:$F$948,$A$2:$A$948,$A852,$B$2:$B$948,$B852),"BEST","")</f>
        <v/>
      </c>
    </row>
    <row r="853" customFormat="false" ht="15" hidden="false" customHeight="false" outlineLevel="0" collapsed="false">
      <c r="A853" s="16" t="s">
        <v>51</v>
      </c>
      <c r="B853" s="17" t="n">
        <v>8</v>
      </c>
      <c r="C853" s="17" t="s">
        <v>69</v>
      </c>
      <c r="D853" s="16" t="s">
        <v>68</v>
      </c>
      <c r="E853" s="17" t="n">
        <v>19</v>
      </c>
      <c r="F853" s="26" t="n">
        <v>0.00962782070528669</v>
      </c>
      <c r="G853" s="17" t="n">
        <v>128</v>
      </c>
      <c r="H853" s="17" t="n">
        <v>1200</v>
      </c>
      <c r="I853" s="17"/>
      <c r="J853" s="17" t="n">
        <v>5</v>
      </c>
      <c r="K853" s="17"/>
      <c r="L853" s="17"/>
      <c r="M853" s="17"/>
      <c r="N853" s="27" t="str">
        <f aca="false">IF(F853=_xlfn.MINIFS($F$2:$F$948,$A$2:$A$948,$A853,$B$2:$B$948,$B853),"BEST","")</f>
        <v/>
      </c>
    </row>
    <row r="854" customFormat="false" ht="15" hidden="false" customHeight="false" outlineLevel="0" collapsed="false">
      <c r="A854" s="16" t="s">
        <v>51</v>
      </c>
      <c r="B854" s="17" t="n">
        <v>8</v>
      </c>
      <c r="C854" s="17" t="s">
        <v>70</v>
      </c>
      <c r="D854" s="16" t="s">
        <v>68</v>
      </c>
      <c r="E854" s="17" t="n">
        <v>0</v>
      </c>
      <c r="F854" s="26" t="n">
        <v>0.00178479976722151</v>
      </c>
      <c r="G854" s="17" t="n">
        <v>21</v>
      </c>
      <c r="H854" s="17" t="n">
        <v>1200</v>
      </c>
      <c r="I854" s="17"/>
      <c r="J854" s="17" t="n">
        <v>5</v>
      </c>
      <c r="K854" s="17"/>
      <c r="L854" s="17"/>
      <c r="M854" s="17" t="n">
        <v>2</v>
      </c>
      <c r="N854" s="27" t="str">
        <f aca="false">IF(F854=_xlfn.MINIFS($F$2:$F$948,$A$2:$A$948,$A854,$B$2:$B$948,$B854),"BEST","")</f>
        <v/>
      </c>
    </row>
    <row r="855" customFormat="false" ht="15" hidden="false" customHeight="false" outlineLevel="0" collapsed="false">
      <c r="A855" s="16" t="s">
        <v>51</v>
      </c>
      <c r="B855" s="17" t="n">
        <v>8</v>
      </c>
      <c r="C855" s="17" t="s">
        <v>70</v>
      </c>
      <c r="D855" s="16" t="s">
        <v>68</v>
      </c>
      <c r="E855" s="17" t="n">
        <v>1</v>
      </c>
      <c r="F855" s="26" t="n">
        <v>0.00178479976722151</v>
      </c>
      <c r="G855" s="17" t="n">
        <v>21</v>
      </c>
      <c r="H855" s="17" t="n">
        <v>1200</v>
      </c>
      <c r="I855" s="17"/>
      <c r="J855" s="17" t="n">
        <v>5</v>
      </c>
      <c r="K855" s="17"/>
      <c r="L855" s="17"/>
      <c r="M855" s="17" t="n">
        <v>2</v>
      </c>
      <c r="N855" s="27" t="str">
        <f aca="false">IF(F855=_xlfn.MINIFS($F$2:$F$948,$A$2:$A$948,$A855,$B$2:$B$948,$B855),"BEST","")</f>
        <v/>
      </c>
    </row>
    <row r="856" customFormat="false" ht="15" hidden="false" customHeight="false" outlineLevel="0" collapsed="false">
      <c r="A856" s="16" t="s">
        <v>51</v>
      </c>
      <c r="B856" s="17" t="n">
        <v>8</v>
      </c>
      <c r="C856" s="17" t="s">
        <v>70</v>
      </c>
      <c r="D856" s="16" t="s">
        <v>68</v>
      </c>
      <c r="E856" s="17" t="n">
        <v>2</v>
      </c>
      <c r="F856" s="26" t="n">
        <v>0.00178479976722151</v>
      </c>
      <c r="G856" s="17" t="n">
        <v>21</v>
      </c>
      <c r="H856" s="17" t="n">
        <v>1200</v>
      </c>
      <c r="I856" s="17"/>
      <c r="J856" s="17" t="n">
        <v>5</v>
      </c>
      <c r="K856" s="17"/>
      <c r="L856" s="17"/>
      <c r="M856" s="17" t="n">
        <v>2</v>
      </c>
      <c r="N856" s="27" t="str">
        <f aca="false">IF(F856=_xlfn.MINIFS($F$2:$F$948,$A$2:$A$948,$A856,$B$2:$B$948,$B856),"BEST","")</f>
        <v/>
      </c>
    </row>
    <row r="857" customFormat="false" ht="15" hidden="false" customHeight="false" outlineLevel="0" collapsed="false">
      <c r="A857" s="16" t="s">
        <v>51</v>
      </c>
      <c r="B857" s="17" t="n">
        <v>8</v>
      </c>
      <c r="C857" s="17" t="s">
        <v>70</v>
      </c>
      <c r="D857" s="16" t="s">
        <v>68</v>
      </c>
      <c r="E857" s="17" t="n">
        <v>3</v>
      </c>
      <c r="F857" s="26" t="n">
        <v>0.00178479976722151</v>
      </c>
      <c r="G857" s="17" t="n">
        <v>21</v>
      </c>
      <c r="H857" s="17" t="n">
        <v>1200</v>
      </c>
      <c r="I857" s="17"/>
      <c r="J857" s="17" t="n">
        <v>5</v>
      </c>
      <c r="K857" s="17"/>
      <c r="L857" s="17"/>
      <c r="M857" s="17" t="n">
        <v>2</v>
      </c>
      <c r="N857" s="27" t="str">
        <f aca="false">IF(F857=_xlfn.MINIFS($F$2:$F$948,$A$2:$A$948,$A857,$B$2:$B$948,$B857),"BEST","")</f>
        <v/>
      </c>
    </row>
    <row r="858" customFormat="false" ht="15" hidden="false" customHeight="false" outlineLevel="0" collapsed="false">
      <c r="A858" s="16" t="s">
        <v>51</v>
      </c>
      <c r="B858" s="17" t="n">
        <v>8</v>
      </c>
      <c r="C858" s="17" t="s">
        <v>70</v>
      </c>
      <c r="D858" s="16" t="s">
        <v>68</v>
      </c>
      <c r="E858" s="17" t="n">
        <v>4</v>
      </c>
      <c r="F858" s="26" t="n">
        <v>0.00178479976722151</v>
      </c>
      <c r="G858" s="17" t="n">
        <v>21</v>
      </c>
      <c r="H858" s="17" t="n">
        <v>1200</v>
      </c>
      <c r="I858" s="17"/>
      <c r="J858" s="17" t="n">
        <v>5</v>
      </c>
      <c r="K858" s="17"/>
      <c r="L858" s="17"/>
      <c r="M858" s="17" t="n">
        <v>2</v>
      </c>
      <c r="N858" s="27" t="str">
        <f aca="false">IF(F858=_xlfn.MINIFS($F$2:$F$948,$A$2:$A$948,$A858,$B$2:$B$948,$B858),"BEST","")</f>
        <v/>
      </c>
    </row>
    <row r="859" customFormat="false" ht="15" hidden="false" customHeight="false" outlineLevel="0" collapsed="false">
      <c r="A859" s="16" t="s">
        <v>51</v>
      </c>
      <c r="B859" s="17" t="n">
        <v>8</v>
      </c>
      <c r="C859" s="17" t="s">
        <v>70</v>
      </c>
      <c r="D859" s="16" t="s">
        <v>68</v>
      </c>
      <c r="E859" s="17" t="n">
        <v>5</v>
      </c>
      <c r="F859" s="26" t="n">
        <v>0.00178479976722151</v>
      </c>
      <c r="G859" s="17" t="n">
        <v>21</v>
      </c>
      <c r="H859" s="17" t="n">
        <v>1200</v>
      </c>
      <c r="I859" s="17"/>
      <c r="J859" s="17" t="n">
        <v>5</v>
      </c>
      <c r="K859" s="17"/>
      <c r="L859" s="17"/>
      <c r="M859" s="17" t="n">
        <v>2</v>
      </c>
      <c r="N859" s="27" t="str">
        <f aca="false">IF(F859=_xlfn.MINIFS($F$2:$F$948,$A$2:$A$948,$A859,$B$2:$B$948,$B859),"BEST","")</f>
        <v/>
      </c>
    </row>
    <row r="860" customFormat="false" ht="15" hidden="false" customHeight="false" outlineLevel="0" collapsed="false">
      <c r="A860" s="16" t="s">
        <v>51</v>
      </c>
      <c r="B860" s="17" t="n">
        <v>8</v>
      </c>
      <c r="C860" s="17" t="s">
        <v>70</v>
      </c>
      <c r="D860" s="16" t="s">
        <v>68</v>
      </c>
      <c r="E860" s="17" t="n">
        <v>6</v>
      </c>
      <c r="F860" s="26" t="n">
        <v>0.00178479976722151</v>
      </c>
      <c r="G860" s="17" t="n">
        <v>21</v>
      </c>
      <c r="H860" s="17" t="n">
        <v>1200</v>
      </c>
      <c r="I860" s="17"/>
      <c r="J860" s="17" t="n">
        <v>5</v>
      </c>
      <c r="K860" s="17"/>
      <c r="L860" s="17"/>
      <c r="M860" s="17" t="n">
        <v>2</v>
      </c>
      <c r="N860" s="27" t="str">
        <f aca="false">IF(F860=_xlfn.MINIFS($F$2:$F$948,$A$2:$A$948,$A860,$B$2:$B$948,$B860),"BEST","")</f>
        <v/>
      </c>
    </row>
    <row r="861" customFormat="false" ht="15" hidden="false" customHeight="false" outlineLevel="0" collapsed="false">
      <c r="A861" s="16" t="s">
        <v>51</v>
      </c>
      <c r="B861" s="17" t="n">
        <v>8</v>
      </c>
      <c r="C861" s="17" t="s">
        <v>70</v>
      </c>
      <c r="D861" s="16" t="s">
        <v>68</v>
      </c>
      <c r="E861" s="17" t="n">
        <v>7</v>
      </c>
      <c r="F861" s="26" t="n">
        <v>0.00178479976722151</v>
      </c>
      <c r="G861" s="17" t="n">
        <v>21</v>
      </c>
      <c r="H861" s="17" t="n">
        <v>1200</v>
      </c>
      <c r="I861" s="17"/>
      <c r="J861" s="17" t="n">
        <v>5</v>
      </c>
      <c r="K861" s="17"/>
      <c r="L861" s="17"/>
      <c r="M861" s="17" t="n">
        <v>2</v>
      </c>
      <c r="N861" s="27" t="str">
        <f aca="false">IF(F861=_xlfn.MINIFS($F$2:$F$948,$A$2:$A$948,$A861,$B$2:$B$948,$B861),"BEST","")</f>
        <v/>
      </c>
    </row>
    <row r="862" customFormat="false" ht="15" hidden="false" customHeight="false" outlineLevel="0" collapsed="false">
      <c r="A862" s="16" t="s">
        <v>51</v>
      </c>
      <c r="B862" s="17" t="n">
        <v>8</v>
      </c>
      <c r="C862" s="17" t="s">
        <v>70</v>
      </c>
      <c r="D862" s="16" t="s">
        <v>68</v>
      </c>
      <c r="E862" s="17" t="n">
        <v>8</v>
      </c>
      <c r="F862" s="26" t="n">
        <v>0.00178479976722151</v>
      </c>
      <c r="G862" s="17" t="n">
        <v>21</v>
      </c>
      <c r="H862" s="17" t="n">
        <v>1200</v>
      </c>
      <c r="I862" s="17"/>
      <c r="J862" s="17" t="n">
        <v>5</v>
      </c>
      <c r="K862" s="17"/>
      <c r="L862" s="17"/>
      <c r="M862" s="17" t="n">
        <v>2</v>
      </c>
      <c r="N862" s="27" t="str">
        <f aca="false">IF(F862=_xlfn.MINIFS($F$2:$F$948,$A$2:$A$948,$A862,$B$2:$B$948,$B862),"BEST","")</f>
        <v/>
      </c>
    </row>
    <row r="863" customFormat="false" ht="15" hidden="false" customHeight="false" outlineLevel="0" collapsed="false">
      <c r="A863" s="16" t="s">
        <v>51</v>
      </c>
      <c r="B863" s="17" t="n">
        <v>8</v>
      </c>
      <c r="C863" s="17" t="s">
        <v>70</v>
      </c>
      <c r="D863" s="16" t="s">
        <v>68</v>
      </c>
      <c r="E863" s="17" t="n">
        <v>9</v>
      </c>
      <c r="F863" s="26" t="n">
        <v>0.00178479976722151</v>
      </c>
      <c r="G863" s="17" t="n">
        <v>21</v>
      </c>
      <c r="H863" s="17" t="n">
        <v>1200</v>
      </c>
      <c r="I863" s="17"/>
      <c r="J863" s="17" t="n">
        <v>5</v>
      </c>
      <c r="K863" s="17"/>
      <c r="L863" s="17"/>
      <c r="M863" s="17" t="n">
        <v>2</v>
      </c>
      <c r="N863" s="27" t="str">
        <f aca="false">IF(F863=_xlfn.MINIFS($F$2:$F$948,$A$2:$A$948,$A863,$B$2:$B$948,$B863),"BEST","")</f>
        <v/>
      </c>
    </row>
    <row r="864" customFormat="false" ht="15" hidden="false" customHeight="false" outlineLevel="0" collapsed="false">
      <c r="A864" s="16" t="s">
        <v>51</v>
      </c>
      <c r="B864" s="17" t="n">
        <v>8</v>
      </c>
      <c r="C864" s="17" t="s">
        <v>70</v>
      </c>
      <c r="D864" s="16" t="s">
        <v>68</v>
      </c>
      <c r="E864" s="17" t="n">
        <v>10</v>
      </c>
      <c r="F864" s="26" t="n">
        <v>0.00178479976722151</v>
      </c>
      <c r="G864" s="17" t="n">
        <v>21</v>
      </c>
      <c r="H864" s="17" t="n">
        <v>1200</v>
      </c>
      <c r="I864" s="17"/>
      <c r="J864" s="17" t="n">
        <v>5</v>
      </c>
      <c r="K864" s="17"/>
      <c r="L864" s="17"/>
      <c r="M864" s="17" t="n">
        <v>2</v>
      </c>
      <c r="N864" s="27" t="str">
        <f aca="false">IF(F864=_xlfn.MINIFS($F$2:$F$948,$A$2:$A$948,$A864,$B$2:$B$948,$B864),"BEST","")</f>
        <v/>
      </c>
    </row>
    <row r="865" customFormat="false" ht="15" hidden="false" customHeight="false" outlineLevel="0" collapsed="false">
      <c r="A865" s="16" t="s">
        <v>51</v>
      </c>
      <c r="B865" s="17" t="n">
        <v>8</v>
      </c>
      <c r="C865" s="17" t="s">
        <v>70</v>
      </c>
      <c r="D865" s="16" t="s">
        <v>68</v>
      </c>
      <c r="E865" s="17" t="n">
        <v>11</v>
      </c>
      <c r="F865" s="26" t="n">
        <v>0.00178479976722151</v>
      </c>
      <c r="G865" s="17" t="n">
        <v>21</v>
      </c>
      <c r="H865" s="17" t="n">
        <v>1200</v>
      </c>
      <c r="I865" s="17"/>
      <c r="J865" s="17" t="n">
        <v>5</v>
      </c>
      <c r="K865" s="17"/>
      <c r="L865" s="17"/>
      <c r="M865" s="17" t="n">
        <v>2</v>
      </c>
      <c r="N865" s="27" t="str">
        <f aca="false">IF(F865=_xlfn.MINIFS($F$2:$F$948,$A$2:$A$948,$A865,$B$2:$B$948,$B865),"BEST","")</f>
        <v/>
      </c>
    </row>
    <row r="866" customFormat="false" ht="15" hidden="false" customHeight="false" outlineLevel="0" collapsed="false">
      <c r="A866" s="16" t="s">
        <v>51</v>
      </c>
      <c r="B866" s="17" t="n">
        <v>8</v>
      </c>
      <c r="C866" s="17" t="s">
        <v>70</v>
      </c>
      <c r="D866" s="16" t="s">
        <v>68</v>
      </c>
      <c r="E866" s="17" t="n">
        <v>12</v>
      </c>
      <c r="F866" s="26" t="n">
        <v>0.00178479976722151</v>
      </c>
      <c r="G866" s="17" t="n">
        <v>21</v>
      </c>
      <c r="H866" s="17" t="n">
        <v>1200</v>
      </c>
      <c r="I866" s="17"/>
      <c r="J866" s="17" t="n">
        <v>5</v>
      </c>
      <c r="K866" s="17"/>
      <c r="L866" s="17"/>
      <c r="M866" s="17" t="n">
        <v>2</v>
      </c>
      <c r="N866" s="27" t="str">
        <f aca="false">IF(F866=_xlfn.MINIFS($F$2:$F$948,$A$2:$A$948,$A866,$B$2:$B$948,$B866),"BEST","")</f>
        <v/>
      </c>
    </row>
    <row r="867" customFormat="false" ht="15" hidden="false" customHeight="false" outlineLevel="0" collapsed="false">
      <c r="A867" s="16" t="s">
        <v>51</v>
      </c>
      <c r="B867" s="17" t="n">
        <v>8</v>
      </c>
      <c r="C867" s="17" t="s">
        <v>70</v>
      </c>
      <c r="D867" s="16" t="s">
        <v>68</v>
      </c>
      <c r="E867" s="17" t="n">
        <v>13</v>
      </c>
      <c r="F867" s="26" t="n">
        <v>0.00178479976722151</v>
      </c>
      <c r="G867" s="17" t="n">
        <v>21</v>
      </c>
      <c r="H867" s="17" t="n">
        <v>1200</v>
      </c>
      <c r="I867" s="17"/>
      <c r="J867" s="17" t="n">
        <v>5</v>
      </c>
      <c r="K867" s="17"/>
      <c r="L867" s="17"/>
      <c r="M867" s="17" t="n">
        <v>2</v>
      </c>
      <c r="N867" s="27" t="str">
        <f aca="false">IF(F867=_xlfn.MINIFS($F$2:$F$948,$A$2:$A$948,$A867,$B$2:$B$948,$B867),"BEST","")</f>
        <v/>
      </c>
    </row>
    <row r="868" customFormat="false" ht="15" hidden="false" customHeight="false" outlineLevel="0" collapsed="false">
      <c r="A868" s="16" t="s">
        <v>51</v>
      </c>
      <c r="B868" s="17" t="n">
        <v>8</v>
      </c>
      <c r="C868" s="17" t="s">
        <v>70</v>
      </c>
      <c r="D868" s="16" t="s">
        <v>68</v>
      </c>
      <c r="E868" s="17" t="n">
        <v>14</v>
      </c>
      <c r="F868" s="26" t="n">
        <v>0.00178479976722151</v>
      </c>
      <c r="G868" s="17" t="n">
        <v>21</v>
      </c>
      <c r="H868" s="17" t="n">
        <v>1200</v>
      </c>
      <c r="I868" s="17"/>
      <c r="J868" s="17" t="n">
        <v>5</v>
      </c>
      <c r="K868" s="17"/>
      <c r="L868" s="17"/>
      <c r="M868" s="17" t="n">
        <v>2</v>
      </c>
      <c r="N868" s="27" t="str">
        <f aca="false">IF(F868=_xlfn.MINIFS($F$2:$F$948,$A$2:$A$948,$A868,$B$2:$B$948,$B868),"BEST","")</f>
        <v/>
      </c>
    </row>
    <row r="869" customFormat="false" ht="15" hidden="false" customHeight="false" outlineLevel="0" collapsed="false">
      <c r="A869" s="16" t="s">
        <v>51</v>
      </c>
      <c r="B869" s="17" t="n">
        <v>8</v>
      </c>
      <c r="C869" s="17" t="s">
        <v>70</v>
      </c>
      <c r="D869" s="16" t="s">
        <v>68</v>
      </c>
      <c r="E869" s="17" t="n">
        <v>15</v>
      </c>
      <c r="F869" s="26" t="n">
        <v>0.00178479976722151</v>
      </c>
      <c r="G869" s="17" t="n">
        <v>21</v>
      </c>
      <c r="H869" s="17" t="n">
        <v>1200</v>
      </c>
      <c r="I869" s="17"/>
      <c r="J869" s="17" t="n">
        <v>5</v>
      </c>
      <c r="K869" s="17"/>
      <c r="L869" s="17"/>
      <c r="M869" s="17" t="n">
        <v>2</v>
      </c>
      <c r="N869" s="27" t="str">
        <f aca="false">IF(F869=_xlfn.MINIFS($F$2:$F$948,$A$2:$A$948,$A869,$B$2:$B$948,$B869),"BEST","")</f>
        <v/>
      </c>
    </row>
    <row r="870" customFormat="false" ht="15" hidden="false" customHeight="false" outlineLevel="0" collapsed="false">
      <c r="A870" s="16" t="s">
        <v>51</v>
      </c>
      <c r="B870" s="17" t="n">
        <v>8</v>
      </c>
      <c r="C870" s="17" t="s">
        <v>70</v>
      </c>
      <c r="D870" s="16" t="s">
        <v>68</v>
      </c>
      <c r="E870" s="17" t="n">
        <v>16</v>
      </c>
      <c r="F870" s="26" t="n">
        <v>0.00178479976722151</v>
      </c>
      <c r="G870" s="17" t="n">
        <v>21</v>
      </c>
      <c r="H870" s="17" t="n">
        <v>1200</v>
      </c>
      <c r="I870" s="17"/>
      <c r="J870" s="17" t="n">
        <v>5</v>
      </c>
      <c r="K870" s="17"/>
      <c r="L870" s="17"/>
      <c r="M870" s="17" t="n">
        <v>2</v>
      </c>
      <c r="N870" s="27" t="str">
        <f aca="false">IF(F870=_xlfn.MINIFS($F$2:$F$948,$A$2:$A$948,$A870,$B$2:$B$948,$B870),"BEST","")</f>
        <v/>
      </c>
    </row>
    <row r="871" customFormat="false" ht="15" hidden="false" customHeight="false" outlineLevel="0" collapsed="false">
      <c r="A871" s="16" t="s">
        <v>51</v>
      </c>
      <c r="B871" s="17" t="n">
        <v>8</v>
      </c>
      <c r="C871" s="17" t="s">
        <v>70</v>
      </c>
      <c r="D871" s="16" t="s">
        <v>68</v>
      </c>
      <c r="E871" s="17" t="n">
        <v>17</v>
      </c>
      <c r="F871" s="26" t="n">
        <v>0.00178479976722151</v>
      </c>
      <c r="G871" s="17" t="n">
        <v>21</v>
      </c>
      <c r="H871" s="17" t="n">
        <v>1200</v>
      </c>
      <c r="I871" s="17"/>
      <c r="J871" s="17" t="n">
        <v>5</v>
      </c>
      <c r="K871" s="17"/>
      <c r="L871" s="17"/>
      <c r="M871" s="17" t="n">
        <v>2</v>
      </c>
      <c r="N871" s="27" t="str">
        <f aca="false">IF(F871=_xlfn.MINIFS($F$2:$F$948,$A$2:$A$948,$A871,$B$2:$B$948,$B871),"BEST","")</f>
        <v/>
      </c>
    </row>
    <row r="872" customFormat="false" ht="15" hidden="false" customHeight="false" outlineLevel="0" collapsed="false">
      <c r="A872" s="16" t="s">
        <v>51</v>
      </c>
      <c r="B872" s="17" t="n">
        <v>8</v>
      </c>
      <c r="C872" s="17" t="s">
        <v>70</v>
      </c>
      <c r="D872" s="16" t="s">
        <v>68</v>
      </c>
      <c r="E872" s="17" t="n">
        <v>18</v>
      </c>
      <c r="F872" s="26" t="n">
        <v>0.00178479976722151</v>
      </c>
      <c r="G872" s="17" t="n">
        <v>21</v>
      </c>
      <c r="H872" s="17" t="n">
        <v>1200</v>
      </c>
      <c r="I872" s="17"/>
      <c r="J872" s="17" t="n">
        <v>5</v>
      </c>
      <c r="K872" s="17"/>
      <c r="L872" s="17"/>
      <c r="M872" s="17" t="n">
        <v>2</v>
      </c>
      <c r="N872" s="27" t="str">
        <f aca="false">IF(F872=_xlfn.MINIFS($F$2:$F$948,$A$2:$A$948,$A872,$B$2:$B$948,$B872),"BEST","")</f>
        <v/>
      </c>
    </row>
    <row r="873" customFormat="false" ht="15" hidden="false" customHeight="false" outlineLevel="0" collapsed="false">
      <c r="A873" s="16" t="s">
        <v>51</v>
      </c>
      <c r="B873" s="17" t="n">
        <v>8</v>
      </c>
      <c r="C873" s="17" t="s">
        <v>70</v>
      </c>
      <c r="D873" s="16" t="s">
        <v>68</v>
      </c>
      <c r="E873" s="17" t="n">
        <v>19</v>
      </c>
      <c r="F873" s="26" t="n">
        <v>0.00178479976722151</v>
      </c>
      <c r="G873" s="17" t="n">
        <v>21</v>
      </c>
      <c r="H873" s="17" t="n">
        <v>1200</v>
      </c>
      <c r="I873" s="17"/>
      <c r="J873" s="17" t="n">
        <v>5</v>
      </c>
      <c r="K873" s="17"/>
      <c r="L873" s="17"/>
      <c r="M873" s="17" t="n">
        <v>2</v>
      </c>
      <c r="N873" s="27" t="str">
        <f aca="false">IF(F873=_xlfn.MINIFS($F$2:$F$948,$A$2:$A$948,$A873,$B$2:$B$948,$B873),"BEST","")</f>
        <v/>
      </c>
    </row>
    <row r="874" customFormat="false" ht="15" hidden="false" customHeight="false" outlineLevel="0" collapsed="false">
      <c r="A874" s="22" t="s">
        <v>51</v>
      </c>
      <c r="B874" s="23" t="n">
        <v>8</v>
      </c>
      <c r="C874" s="23" t="s">
        <v>71</v>
      </c>
      <c r="D874" s="22" t="s">
        <v>72</v>
      </c>
      <c r="E874" s="23" t="n">
        <v>0</v>
      </c>
      <c r="F874" s="28" t="n">
        <v>0.00395125003904408</v>
      </c>
      <c r="G874" s="23" t="n">
        <v>128</v>
      </c>
      <c r="H874" s="23" t="n">
        <v>1200</v>
      </c>
      <c r="I874" s="23" t="n">
        <v>4</v>
      </c>
      <c r="J874" s="23" t="n">
        <v>5</v>
      </c>
      <c r="K874" s="22" t="s">
        <v>73</v>
      </c>
      <c r="L874" s="22" t="s">
        <v>74</v>
      </c>
      <c r="M874" s="23"/>
      <c r="N874" s="27" t="str">
        <f aca="false">IF(F874=_xlfn.MINIFS($F$2:$F$948,$A$2:$A$948,$A874,$B$2:$B$948,$B874),"BEST","")</f>
        <v/>
      </c>
    </row>
    <row r="875" customFormat="false" ht="15" hidden="false" customHeight="false" outlineLevel="0" collapsed="false">
      <c r="A875" s="22" t="s">
        <v>51</v>
      </c>
      <c r="B875" s="23" t="n">
        <v>8</v>
      </c>
      <c r="C875" s="23" t="s">
        <v>71</v>
      </c>
      <c r="D875" s="22" t="s">
        <v>72</v>
      </c>
      <c r="E875" s="23" t="n">
        <v>1</v>
      </c>
      <c r="F875" s="28" t="n">
        <v>0.00430665068863512</v>
      </c>
      <c r="G875" s="23" t="n">
        <v>128</v>
      </c>
      <c r="H875" s="23" t="n">
        <v>1200</v>
      </c>
      <c r="I875" s="23" t="n">
        <v>4</v>
      </c>
      <c r="J875" s="23" t="n">
        <v>5</v>
      </c>
      <c r="K875" s="22" t="s">
        <v>73</v>
      </c>
      <c r="L875" s="22" t="s">
        <v>74</v>
      </c>
      <c r="M875" s="23"/>
      <c r="N875" s="27" t="str">
        <f aca="false">IF(F875=_xlfn.MINIFS($F$2:$F$948,$A$2:$A$948,$A875,$B$2:$B$948,$B875),"BEST","")</f>
        <v/>
      </c>
    </row>
    <row r="876" customFormat="false" ht="15" hidden="false" customHeight="false" outlineLevel="0" collapsed="false">
      <c r="A876" s="22" t="s">
        <v>51</v>
      </c>
      <c r="B876" s="23" t="n">
        <v>8</v>
      </c>
      <c r="C876" s="23" t="s">
        <v>71</v>
      </c>
      <c r="D876" s="22" t="s">
        <v>72</v>
      </c>
      <c r="E876" s="23" t="n">
        <v>2</v>
      </c>
      <c r="F876" s="28" t="n">
        <v>0.00387156981058751</v>
      </c>
      <c r="G876" s="23" t="n">
        <v>128</v>
      </c>
      <c r="H876" s="23" t="n">
        <v>1200</v>
      </c>
      <c r="I876" s="23" t="n">
        <v>4</v>
      </c>
      <c r="J876" s="23" t="n">
        <v>5</v>
      </c>
      <c r="K876" s="22" t="s">
        <v>73</v>
      </c>
      <c r="L876" s="22" t="s">
        <v>74</v>
      </c>
      <c r="M876" s="23"/>
      <c r="N876" s="27" t="str">
        <f aca="false">IF(F876=_xlfn.MINIFS($F$2:$F$948,$A$2:$A$948,$A876,$B$2:$B$948,$B876),"BEST","")</f>
        <v/>
      </c>
    </row>
    <row r="877" customFormat="false" ht="15" hidden="false" customHeight="false" outlineLevel="0" collapsed="false">
      <c r="A877" s="22" t="s">
        <v>51</v>
      </c>
      <c r="B877" s="23" t="n">
        <v>8</v>
      </c>
      <c r="C877" s="23" t="s">
        <v>71</v>
      </c>
      <c r="D877" s="22" t="s">
        <v>72</v>
      </c>
      <c r="E877" s="23" t="n">
        <v>3</v>
      </c>
      <c r="F877" s="28" t="n">
        <v>0.00409092376848963</v>
      </c>
      <c r="G877" s="23" t="n">
        <v>128</v>
      </c>
      <c r="H877" s="23" t="n">
        <v>1200</v>
      </c>
      <c r="I877" s="23" t="n">
        <v>4</v>
      </c>
      <c r="J877" s="23" t="n">
        <v>5</v>
      </c>
      <c r="K877" s="22" t="s">
        <v>73</v>
      </c>
      <c r="L877" s="22" t="s">
        <v>74</v>
      </c>
      <c r="M877" s="23"/>
      <c r="N877" s="27" t="str">
        <f aca="false">IF(F877=_xlfn.MINIFS($F$2:$F$948,$A$2:$A$948,$A877,$B$2:$B$948,$B877),"BEST","")</f>
        <v/>
      </c>
    </row>
    <row r="878" customFormat="false" ht="15" hidden="false" customHeight="false" outlineLevel="0" collapsed="false">
      <c r="A878" s="22" t="s">
        <v>51</v>
      </c>
      <c r="B878" s="23" t="n">
        <v>8</v>
      </c>
      <c r="C878" s="23" t="s">
        <v>71</v>
      </c>
      <c r="D878" s="22" t="s">
        <v>72</v>
      </c>
      <c r="E878" s="23" t="n">
        <v>4</v>
      </c>
      <c r="F878" s="28" t="n">
        <v>0.00427041276461464</v>
      </c>
      <c r="G878" s="23" t="n">
        <v>128</v>
      </c>
      <c r="H878" s="23" t="n">
        <v>1200</v>
      </c>
      <c r="I878" s="23" t="n">
        <v>4</v>
      </c>
      <c r="J878" s="23" t="n">
        <v>5</v>
      </c>
      <c r="K878" s="22" t="s">
        <v>73</v>
      </c>
      <c r="L878" s="22" t="s">
        <v>74</v>
      </c>
      <c r="M878" s="23"/>
      <c r="N878" s="27" t="str">
        <f aca="false">IF(F878=_xlfn.MINIFS($F$2:$F$948,$A$2:$A$948,$A878,$B$2:$B$948,$B878),"BEST","")</f>
        <v/>
      </c>
    </row>
    <row r="879" customFormat="false" ht="15" hidden="false" customHeight="false" outlineLevel="0" collapsed="false">
      <c r="A879" s="22" t="s">
        <v>51</v>
      </c>
      <c r="B879" s="23" t="n">
        <v>8</v>
      </c>
      <c r="C879" s="23" t="s">
        <v>71</v>
      </c>
      <c r="D879" s="22" t="s">
        <v>72</v>
      </c>
      <c r="E879" s="23" t="n">
        <v>5</v>
      </c>
      <c r="F879" s="28" t="n">
        <v>0.00443022348136951</v>
      </c>
      <c r="G879" s="23" t="n">
        <v>128</v>
      </c>
      <c r="H879" s="23" t="n">
        <v>1200</v>
      </c>
      <c r="I879" s="23" t="n">
        <v>4</v>
      </c>
      <c r="J879" s="23" t="n">
        <v>5</v>
      </c>
      <c r="K879" s="22" t="s">
        <v>73</v>
      </c>
      <c r="L879" s="22" t="s">
        <v>74</v>
      </c>
      <c r="M879" s="23"/>
      <c r="N879" s="27" t="str">
        <f aca="false">IF(F879=_xlfn.MINIFS($F$2:$F$948,$A$2:$A$948,$A879,$B$2:$B$948,$B879),"BEST","")</f>
        <v/>
      </c>
    </row>
    <row r="880" customFormat="false" ht="15" hidden="false" customHeight="false" outlineLevel="0" collapsed="false">
      <c r="A880" s="22" t="s">
        <v>51</v>
      </c>
      <c r="B880" s="23" t="n">
        <v>8</v>
      </c>
      <c r="C880" s="23" t="s">
        <v>71</v>
      </c>
      <c r="D880" s="22" t="s">
        <v>72</v>
      </c>
      <c r="E880" s="23" t="n">
        <v>6</v>
      </c>
      <c r="F880" s="28" t="n">
        <v>0.00372469754720013</v>
      </c>
      <c r="G880" s="23" t="n">
        <v>128</v>
      </c>
      <c r="H880" s="23" t="n">
        <v>1200</v>
      </c>
      <c r="I880" s="23" t="n">
        <v>4</v>
      </c>
      <c r="J880" s="23" t="n">
        <v>5</v>
      </c>
      <c r="K880" s="22" t="s">
        <v>73</v>
      </c>
      <c r="L880" s="22" t="s">
        <v>74</v>
      </c>
      <c r="M880" s="23"/>
      <c r="N880" s="27" t="str">
        <f aca="false">IF(F880=_xlfn.MINIFS($F$2:$F$948,$A$2:$A$948,$A880,$B$2:$B$948,$B880),"BEST","")</f>
        <v/>
      </c>
    </row>
    <row r="881" customFormat="false" ht="15" hidden="false" customHeight="false" outlineLevel="0" collapsed="false">
      <c r="A881" s="22" t="s">
        <v>51</v>
      </c>
      <c r="B881" s="23" t="n">
        <v>8</v>
      </c>
      <c r="C881" s="23" t="s">
        <v>71</v>
      </c>
      <c r="D881" s="22" t="s">
        <v>72</v>
      </c>
      <c r="E881" s="23" t="n">
        <v>7</v>
      </c>
      <c r="F881" s="28" t="n">
        <v>0.0041824651241015</v>
      </c>
      <c r="G881" s="23" t="n">
        <v>128</v>
      </c>
      <c r="H881" s="23" t="n">
        <v>1200</v>
      </c>
      <c r="I881" s="23" t="n">
        <v>4</v>
      </c>
      <c r="J881" s="23" t="n">
        <v>5</v>
      </c>
      <c r="K881" s="22" t="s">
        <v>73</v>
      </c>
      <c r="L881" s="22" t="s">
        <v>74</v>
      </c>
      <c r="M881" s="23"/>
      <c r="N881" s="27" t="str">
        <f aca="false">IF(F881=_xlfn.MINIFS($F$2:$F$948,$A$2:$A$948,$A881,$B$2:$B$948,$B881),"BEST","")</f>
        <v/>
      </c>
    </row>
    <row r="882" customFormat="false" ht="15" hidden="false" customHeight="false" outlineLevel="0" collapsed="false">
      <c r="A882" s="22" t="s">
        <v>51</v>
      </c>
      <c r="B882" s="23" t="n">
        <v>8</v>
      </c>
      <c r="C882" s="23" t="s">
        <v>71</v>
      </c>
      <c r="D882" s="22" t="s">
        <v>72</v>
      </c>
      <c r="E882" s="23" t="n">
        <v>8</v>
      </c>
      <c r="F882" s="28" t="n">
        <v>0.0038270438301603</v>
      </c>
      <c r="G882" s="23" t="n">
        <v>128</v>
      </c>
      <c r="H882" s="23" t="n">
        <v>1200</v>
      </c>
      <c r="I882" s="23" t="n">
        <v>4</v>
      </c>
      <c r="J882" s="23" t="n">
        <v>5</v>
      </c>
      <c r="K882" s="22" t="s">
        <v>73</v>
      </c>
      <c r="L882" s="22" t="s">
        <v>74</v>
      </c>
      <c r="M882" s="23"/>
      <c r="N882" s="27" t="str">
        <f aca="false">IF(F882=_xlfn.MINIFS($F$2:$F$948,$A$2:$A$948,$A882,$B$2:$B$948,$B882),"BEST","")</f>
        <v/>
      </c>
    </row>
    <row r="883" customFormat="false" ht="15" hidden="false" customHeight="false" outlineLevel="0" collapsed="false">
      <c r="A883" s="22" t="s">
        <v>51</v>
      </c>
      <c r="B883" s="23" t="n">
        <v>8</v>
      </c>
      <c r="C883" s="23" t="s">
        <v>71</v>
      </c>
      <c r="D883" s="22" t="s">
        <v>72</v>
      </c>
      <c r="E883" s="23" t="n">
        <v>9</v>
      </c>
      <c r="F883" s="28" t="n">
        <v>0.00408180031164195</v>
      </c>
      <c r="G883" s="23" t="n">
        <v>128</v>
      </c>
      <c r="H883" s="23" t="n">
        <v>1200</v>
      </c>
      <c r="I883" s="23" t="n">
        <v>4</v>
      </c>
      <c r="J883" s="23" t="n">
        <v>5</v>
      </c>
      <c r="K883" s="22" t="s">
        <v>73</v>
      </c>
      <c r="L883" s="22" t="s">
        <v>74</v>
      </c>
      <c r="M883" s="23"/>
      <c r="N883" s="27" t="str">
        <f aca="false">IF(F883=_xlfn.MINIFS($F$2:$F$948,$A$2:$A$948,$A883,$B$2:$B$948,$B883),"BEST","")</f>
        <v/>
      </c>
    </row>
    <row r="884" customFormat="false" ht="15" hidden="false" customHeight="false" outlineLevel="0" collapsed="false">
      <c r="A884" s="16" t="s">
        <v>51</v>
      </c>
      <c r="B884" s="17" t="n">
        <v>10</v>
      </c>
      <c r="C884" s="17" t="s">
        <v>67</v>
      </c>
      <c r="D884" s="16" t="s">
        <v>68</v>
      </c>
      <c r="E884" s="17" t="n">
        <v>0</v>
      </c>
      <c r="F884" s="26" t="n">
        <v>0.00203517414569913</v>
      </c>
      <c r="G884" s="17" t="n">
        <v>160</v>
      </c>
      <c r="H884" s="17" t="n">
        <v>600</v>
      </c>
      <c r="I884" s="17"/>
      <c r="J884" s="17" t="n">
        <v>5</v>
      </c>
      <c r="K884" s="17"/>
      <c r="L884" s="17"/>
      <c r="M884" s="17"/>
      <c r="N884" s="27" t="str">
        <f aca="false">IF(F884=_xlfn.MINIFS($F$2:$F$948,$A$2:$A$948,$A884,$B$2:$B$948,$B884),"BEST","")</f>
        <v/>
      </c>
    </row>
    <row r="885" customFormat="false" ht="15" hidden="false" customHeight="false" outlineLevel="0" collapsed="false">
      <c r="A885" s="16" t="s">
        <v>51</v>
      </c>
      <c r="B885" s="17" t="n">
        <v>10</v>
      </c>
      <c r="C885" s="17" t="s">
        <v>67</v>
      </c>
      <c r="D885" s="16" t="s">
        <v>68</v>
      </c>
      <c r="E885" s="17" t="n">
        <v>1</v>
      </c>
      <c r="F885" s="26" t="n">
        <v>0.00205122270081024</v>
      </c>
      <c r="G885" s="17" t="n">
        <v>160</v>
      </c>
      <c r="H885" s="17" t="n">
        <v>600</v>
      </c>
      <c r="I885" s="17"/>
      <c r="J885" s="17" t="n">
        <v>5</v>
      </c>
      <c r="K885" s="17"/>
      <c r="L885" s="17"/>
      <c r="M885" s="17"/>
      <c r="N885" s="27" t="str">
        <f aca="false">IF(F885=_xlfn.MINIFS($F$2:$F$948,$A$2:$A$948,$A885,$B$2:$B$948,$B885),"BEST","")</f>
        <v/>
      </c>
    </row>
    <row r="886" customFormat="false" ht="15" hidden="false" customHeight="false" outlineLevel="0" collapsed="false">
      <c r="A886" s="16" t="s">
        <v>51</v>
      </c>
      <c r="B886" s="17" t="n">
        <v>10</v>
      </c>
      <c r="C886" s="17" t="s">
        <v>67</v>
      </c>
      <c r="D886" s="16" t="s">
        <v>68</v>
      </c>
      <c r="E886" s="17" t="n">
        <v>2</v>
      </c>
      <c r="F886" s="26" t="n">
        <v>0.00196720785990204</v>
      </c>
      <c r="G886" s="17" t="n">
        <v>160</v>
      </c>
      <c r="H886" s="17" t="n">
        <v>600</v>
      </c>
      <c r="I886" s="17"/>
      <c r="J886" s="17" t="n">
        <v>5</v>
      </c>
      <c r="K886" s="17"/>
      <c r="L886" s="17"/>
      <c r="M886" s="17"/>
      <c r="N886" s="27" t="str">
        <f aca="false">IF(F886=_xlfn.MINIFS($F$2:$F$948,$A$2:$A$948,$A886,$B$2:$B$948,$B886),"BEST","")</f>
        <v/>
      </c>
    </row>
    <row r="887" customFormat="false" ht="15" hidden="false" customHeight="false" outlineLevel="0" collapsed="false">
      <c r="A887" s="16" t="s">
        <v>51</v>
      </c>
      <c r="B887" s="17" t="n">
        <v>10</v>
      </c>
      <c r="C887" s="17" t="s">
        <v>67</v>
      </c>
      <c r="D887" s="16" t="s">
        <v>68</v>
      </c>
      <c r="E887" s="17" t="n">
        <v>3</v>
      </c>
      <c r="F887" s="26" t="n">
        <v>0.0020512643978328</v>
      </c>
      <c r="G887" s="17" t="n">
        <v>160</v>
      </c>
      <c r="H887" s="17" t="n">
        <v>600</v>
      </c>
      <c r="I887" s="17"/>
      <c r="J887" s="17" t="n">
        <v>5</v>
      </c>
      <c r="K887" s="17"/>
      <c r="L887" s="17"/>
      <c r="M887" s="17"/>
      <c r="N887" s="27" t="str">
        <f aca="false">IF(F887=_xlfn.MINIFS($F$2:$F$948,$A$2:$A$948,$A887,$B$2:$B$948,$B887),"BEST","")</f>
        <v/>
      </c>
    </row>
    <row r="888" customFormat="false" ht="15" hidden="false" customHeight="false" outlineLevel="0" collapsed="false">
      <c r="A888" s="16" t="s">
        <v>51</v>
      </c>
      <c r="B888" s="17" t="n">
        <v>10</v>
      </c>
      <c r="C888" s="17" t="s">
        <v>67</v>
      </c>
      <c r="D888" s="16" t="s">
        <v>68</v>
      </c>
      <c r="E888" s="17" t="n">
        <v>4</v>
      </c>
      <c r="F888" s="26" t="n">
        <v>0.0020869987440464</v>
      </c>
      <c r="G888" s="17" t="n">
        <v>160</v>
      </c>
      <c r="H888" s="17" t="n">
        <v>600</v>
      </c>
      <c r="I888" s="17"/>
      <c r="J888" s="17" t="n">
        <v>5</v>
      </c>
      <c r="K888" s="17"/>
      <c r="L888" s="17"/>
      <c r="M888" s="17"/>
      <c r="N888" s="27" t="str">
        <f aca="false">IF(F888=_xlfn.MINIFS($F$2:$F$948,$A$2:$A$948,$A888,$B$2:$B$948,$B888),"BEST","")</f>
        <v/>
      </c>
    </row>
    <row r="889" customFormat="false" ht="15" hidden="false" customHeight="false" outlineLevel="0" collapsed="false">
      <c r="A889" s="16" t="s">
        <v>51</v>
      </c>
      <c r="B889" s="17" t="n">
        <v>10</v>
      </c>
      <c r="C889" s="17" t="s">
        <v>67</v>
      </c>
      <c r="D889" s="16" t="s">
        <v>68</v>
      </c>
      <c r="E889" s="17" t="n">
        <v>5</v>
      </c>
      <c r="F889" s="26" t="n">
        <v>0.00203290951837757</v>
      </c>
      <c r="G889" s="17" t="n">
        <v>160</v>
      </c>
      <c r="H889" s="17" t="n">
        <v>600</v>
      </c>
      <c r="I889" s="17"/>
      <c r="J889" s="17" t="n">
        <v>5</v>
      </c>
      <c r="K889" s="17"/>
      <c r="L889" s="17"/>
      <c r="M889" s="17"/>
      <c r="N889" s="27" t="str">
        <f aca="false">IF(F889=_xlfn.MINIFS($F$2:$F$948,$A$2:$A$948,$A889,$B$2:$B$948,$B889),"BEST","")</f>
        <v/>
      </c>
    </row>
    <row r="890" customFormat="false" ht="15" hidden="false" customHeight="false" outlineLevel="0" collapsed="false">
      <c r="A890" s="16" t="s">
        <v>51</v>
      </c>
      <c r="B890" s="17" t="n">
        <v>10</v>
      </c>
      <c r="C890" s="17" t="s">
        <v>67</v>
      </c>
      <c r="D890" s="16" t="s">
        <v>68</v>
      </c>
      <c r="E890" s="17" t="n">
        <v>6</v>
      </c>
      <c r="F890" s="26" t="n">
        <v>0.00204593042880987</v>
      </c>
      <c r="G890" s="17" t="n">
        <v>160</v>
      </c>
      <c r="H890" s="17" t="n">
        <v>600</v>
      </c>
      <c r="I890" s="17"/>
      <c r="J890" s="17" t="n">
        <v>5</v>
      </c>
      <c r="K890" s="17"/>
      <c r="L890" s="17"/>
      <c r="M890" s="17"/>
      <c r="N890" s="27" t="str">
        <f aca="false">IF(F890=_xlfn.MINIFS($F$2:$F$948,$A$2:$A$948,$A890,$B$2:$B$948,$B890),"BEST","")</f>
        <v/>
      </c>
    </row>
    <row r="891" customFormat="false" ht="15" hidden="false" customHeight="false" outlineLevel="0" collapsed="false">
      <c r="A891" s="16" t="s">
        <v>51</v>
      </c>
      <c r="B891" s="17" t="n">
        <v>10</v>
      </c>
      <c r="C891" s="17" t="s">
        <v>67</v>
      </c>
      <c r="D891" s="16" t="s">
        <v>68</v>
      </c>
      <c r="E891" s="17" t="n">
        <v>7</v>
      </c>
      <c r="F891" s="26" t="n">
        <v>0.00206945421981026</v>
      </c>
      <c r="G891" s="17" t="n">
        <v>160</v>
      </c>
      <c r="H891" s="17" t="n">
        <v>600</v>
      </c>
      <c r="I891" s="17"/>
      <c r="J891" s="17" t="n">
        <v>5</v>
      </c>
      <c r="K891" s="17"/>
      <c r="L891" s="17"/>
      <c r="M891" s="17"/>
      <c r="N891" s="27" t="str">
        <f aca="false">IF(F891=_xlfn.MINIFS($F$2:$F$948,$A$2:$A$948,$A891,$B$2:$B$948,$B891),"BEST","")</f>
        <v/>
      </c>
    </row>
    <row r="892" customFormat="false" ht="15" hidden="false" customHeight="false" outlineLevel="0" collapsed="false">
      <c r="A892" s="16" t="s">
        <v>51</v>
      </c>
      <c r="B892" s="17" t="n">
        <v>10</v>
      </c>
      <c r="C892" s="17" t="s">
        <v>67</v>
      </c>
      <c r="D892" s="16" t="s">
        <v>68</v>
      </c>
      <c r="E892" s="17" t="n">
        <v>8</v>
      </c>
      <c r="F892" s="26" t="n">
        <v>0.00204460940586655</v>
      </c>
      <c r="G892" s="17" t="n">
        <v>160</v>
      </c>
      <c r="H892" s="17" t="n">
        <v>600</v>
      </c>
      <c r="I892" s="17"/>
      <c r="J892" s="17" t="n">
        <v>5</v>
      </c>
      <c r="K892" s="17"/>
      <c r="L892" s="17"/>
      <c r="M892" s="17"/>
      <c r="N892" s="27" t="str">
        <f aca="false">IF(F892=_xlfn.MINIFS($F$2:$F$948,$A$2:$A$948,$A892,$B$2:$B$948,$B892),"BEST","")</f>
        <v/>
      </c>
    </row>
    <row r="893" customFormat="false" ht="15" hidden="false" customHeight="false" outlineLevel="0" collapsed="false">
      <c r="A893" s="16" t="s">
        <v>51</v>
      </c>
      <c r="B893" s="17" t="n">
        <v>10</v>
      </c>
      <c r="C893" s="17" t="s">
        <v>67</v>
      </c>
      <c r="D893" s="16" t="s">
        <v>68</v>
      </c>
      <c r="E893" s="17" t="n">
        <v>9</v>
      </c>
      <c r="F893" s="26" t="n">
        <v>0.00196700728659575</v>
      </c>
      <c r="G893" s="17" t="n">
        <v>160</v>
      </c>
      <c r="H893" s="17" t="n">
        <v>600</v>
      </c>
      <c r="I893" s="17"/>
      <c r="J893" s="17" t="n">
        <v>5</v>
      </c>
      <c r="K893" s="17"/>
      <c r="L893" s="17"/>
      <c r="M893" s="17"/>
      <c r="N893" s="27" t="str">
        <f aca="false">IF(F893=_xlfn.MINIFS($F$2:$F$948,$A$2:$A$948,$A893,$B$2:$B$948,$B893),"BEST","")</f>
        <v/>
      </c>
    </row>
    <row r="894" customFormat="false" ht="15" hidden="false" customHeight="false" outlineLevel="0" collapsed="false">
      <c r="A894" s="16" t="s">
        <v>51</v>
      </c>
      <c r="B894" s="17" t="n">
        <v>10</v>
      </c>
      <c r="C894" s="17" t="s">
        <v>67</v>
      </c>
      <c r="D894" s="16" t="s">
        <v>68</v>
      </c>
      <c r="E894" s="17" t="n">
        <v>10</v>
      </c>
      <c r="F894" s="26" t="n">
        <v>0.00196347606883429</v>
      </c>
      <c r="G894" s="17" t="n">
        <v>160</v>
      </c>
      <c r="H894" s="17" t="n">
        <v>600</v>
      </c>
      <c r="I894" s="17"/>
      <c r="J894" s="17" t="n">
        <v>5</v>
      </c>
      <c r="K894" s="17"/>
      <c r="L894" s="17"/>
      <c r="M894" s="17"/>
      <c r="N894" s="27" t="str">
        <f aca="false">IF(F894=_xlfn.MINIFS($F$2:$F$948,$A$2:$A$948,$A894,$B$2:$B$948,$B894),"BEST","")</f>
        <v>BEST</v>
      </c>
    </row>
    <row r="895" customFormat="false" ht="15" hidden="false" customHeight="false" outlineLevel="0" collapsed="false">
      <c r="A895" s="16" t="s">
        <v>51</v>
      </c>
      <c r="B895" s="17" t="n">
        <v>10</v>
      </c>
      <c r="C895" s="17" t="s">
        <v>67</v>
      </c>
      <c r="D895" s="16" t="s">
        <v>68</v>
      </c>
      <c r="E895" s="17" t="n">
        <v>11</v>
      </c>
      <c r="F895" s="26" t="n">
        <v>0.0020951086161694</v>
      </c>
      <c r="G895" s="17" t="n">
        <v>160</v>
      </c>
      <c r="H895" s="17" t="n">
        <v>600</v>
      </c>
      <c r="I895" s="17"/>
      <c r="J895" s="17" t="n">
        <v>5</v>
      </c>
      <c r="K895" s="17"/>
      <c r="L895" s="17"/>
      <c r="M895" s="17"/>
      <c r="N895" s="27" t="str">
        <f aca="false">IF(F895=_xlfn.MINIFS($F$2:$F$948,$A$2:$A$948,$A895,$B$2:$B$948,$B895),"BEST","")</f>
        <v/>
      </c>
    </row>
    <row r="896" customFormat="false" ht="15" hidden="false" customHeight="false" outlineLevel="0" collapsed="false">
      <c r="A896" s="16" t="s">
        <v>51</v>
      </c>
      <c r="B896" s="17" t="n">
        <v>10</v>
      </c>
      <c r="C896" s="17" t="s">
        <v>67</v>
      </c>
      <c r="D896" s="16" t="s">
        <v>68</v>
      </c>
      <c r="E896" s="17" t="n">
        <v>12</v>
      </c>
      <c r="F896" s="26" t="n">
        <v>0.00203453515721206</v>
      </c>
      <c r="G896" s="17" t="n">
        <v>160</v>
      </c>
      <c r="H896" s="17" t="n">
        <v>600</v>
      </c>
      <c r="I896" s="17"/>
      <c r="J896" s="17" t="n">
        <v>5</v>
      </c>
      <c r="K896" s="17"/>
      <c r="L896" s="17"/>
      <c r="M896" s="17"/>
      <c r="N896" s="27" t="str">
        <f aca="false">IF(F896=_xlfn.MINIFS($F$2:$F$948,$A$2:$A$948,$A896,$B$2:$B$948,$B896),"BEST","")</f>
        <v/>
      </c>
    </row>
    <row r="897" customFormat="false" ht="15" hidden="false" customHeight="false" outlineLevel="0" collapsed="false">
      <c r="A897" s="16" t="s">
        <v>51</v>
      </c>
      <c r="B897" s="17" t="n">
        <v>10</v>
      </c>
      <c r="C897" s="17" t="s">
        <v>67</v>
      </c>
      <c r="D897" s="16" t="s">
        <v>68</v>
      </c>
      <c r="E897" s="17" t="n">
        <v>13</v>
      </c>
      <c r="F897" s="26" t="n">
        <v>0.0020749669340439</v>
      </c>
      <c r="G897" s="17" t="n">
        <v>160</v>
      </c>
      <c r="H897" s="17" t="n">
        <v>600</v>
      </c>
      <c r="I897" s="17"/>
      <c r="J897" s="17" t="n">
        <v>5</v>
      </c>
      <c r="K897" s="17"/>
      <c r="L897" s="17"/>
      <c r="M897" s="17"/>
      <c r="N897" s="27" t="str">
        <f aca="false">IF(F897=_xlfn.MINIFS($F$2:$F$948,$A$2:$A$948,$A897,$B$2:$B$948,$B897),"BEST","")</f>
        <v/>
      </c>
    </row>
    <row r="898" customFormat="false" ht="15" hidden="false" customHeight="false" outlineLevel="0" collapsed="false">
      <c r="A898" s="16" t="s">
        <v>51</v>
      </c>
      <c r="B898" s="17" t="n">
        <v>10</v>
      </c>
      <c r="C898" s="17" t="s">
        <v>67</v>
      </c>
      <c r="D898" s="16" t="s">
        <v>68</v>
      </c>
      <c r="E898" s="17" t="n">
        <v>14</v>
      </c>
      <c r="F898" s="26" t="n">
        <v>0.00218630900287623</v>
      </c>
      <c r="G898" s="17" t="n">
        <v>160</v>
      </c>
      <c r="H898" s="17" t="n">
        <v>600</v>
      </c>
      <c r="I898" s="17"/>
      <c r="J898" s="17" t="n">
        <v>5</v>
      </c>
      <c r="K898" s="17"/>
      <c r="L898" s="17"/>
      <c r="M898" s="17"/>
      <c r="N898" s="27" t="str">
        <f aca="false">IF(F898=_xlfn.MINIFS($F$2:$F$948,$A$2:$A$948,$A898,$B$2:$B$948,$B898),"BEST","")</f>
        <v/>
      </c>
    </row>
    <row r="899" customFormat="false" ht="15" hidden="false" customHeight="false" outlineLevel="0" collapsed="false">
      <c r="A899" s="16" t="s">
        <v>51</v>
      </c>
      <c r="B899" s="17" t="n">
        <v>10</v>
      </c>
      <c r="C899" s="17" t="s">
        <v>67</v>
      </c>
      <c r="D899" s="16" t="s">
        <v>68</v>
      </c>
      <c r="E899" s="17" t="n">
        <v>15</v>
      </c>
      <c r="F899" s="26" t="n">
        <v>0.00208258756840394</v>
      </c>
      <c r="G899" s="17" t="n">
        <v>160</v>
      </c>
      <c r="H899" s="17" t="n">
        <v>600</v>
      </c>
      <c r="I899" s="17"/>
      <c r="J899" s="17" t="n">
        <v>5</v>
      </c>
      <c r="K899" s="17"/>
      <c r="L899" s="17"/>
      <c r="M899" s="17"/>
      <c r="N899" s="27" t="str">
        <f aca="false">IF(F899=_xlfn.MINIFS($F$2:$F$948,$A$2:$A$948,$A899,$B$2:$B$948,$B899),"BEST","")</f>
        <v/>
      </c>
    </row>
    <row r="900" customFormat="false" ht="15" hidden="false" customHeight="false" outlineLevel="0" collapsed="false">
      <c r="A900" s="16" t="s">
        <v>51</v>
      </c>
      <c r="B900" s="17" t="n">
        <v>10</v>
      </c>
      <c r="C900" s="17" t="s">
        <v>67</v>
      </c>
      <c r="D900" s="16" t="s">
        <v>68</v>
      </c>
      <c r="E900" s="17" t="n">
        <v>16</v>
      </c>
      <c r="F900" s="26" t="n">
        <v>0.00213156246381967</v>
      </c>
      <c r="G900" s="17" t="n">
        <v>160</v>
      </c>
      <c r="H900" s="17" t="n">
        <v>600</v>
      </c>
      <c r="I900" s="17"/>
      <c r="J900" s="17" t="n">
        <v>5</v>
      </c>
      <c r="K900" s="17"/>
      <c r="L900" s="17"/>
      <c r="M900" s="17"/>
      <c r="N900" s="27" t="str">
        <f aca="false">IF(F900=_xlfn.MINIFS($F$2:$F$948,$A$2:$A$948,$A900,$B$2:$B$948,$B900),"BEST","")</f>
        <v/>
      </c>
    </row>
    <row r="901" customFormat="false" ht="15" hidden="false" customHeight="false" outlineLevel="0" collapsed="false">
      <c r="A901" s="16" t="s">
        <v>51</v>
      </c>
      <c r="B901" s="17" t="n">
        <v>10</v>
      </c>
      <c r="C901" s="17" t="s">
        <v>67</v>
      </c>
      <c r="D901" s="16" t="s">
        <v>68</v>
      </c>
      <c r="E901" s="17" t="n">
        <v>17</v>
      </c>
      <c r="F901" s="26" t="n">
        <v>0.00199743666520168</v>
      </c>
      <c r="G901" s="17" t="n">
        <v>160</v>
      </c>
      <c r="H901" s="17" t="n">
        <v>600</v>
      </c>
      <c r="I901" s="17"/>
      <c r="J901" s="17" t="n">
        <v>5</v>
      </c>
      <c r="K901" s="17"/>
      <c r="L901" s="17"/>
      <c r="M901" s="17"/>
      <c r="N901" s="27" t="str">
        <f aca="false">IF(F901=_xlfn.MINIFS($F$2:$F$948,$A$2:$A$948,$A901,$B$2:$B$948,$B901),"BEST","")</f>
        <v/>
      </c>
    </row>
    <row r="902" customFormat="false" ht="15" hidden="false" customHeight="false" outlineLevel="0" collapsed="false">
      <c r="A902" s="16" t="s">
        <v>51</v>
      </c>
      <c r="B902" s="17" t="n">
        <v>10</v>
      </c>
      <c r="C902" s="17" t="s">
        <v>67</v>
      </c>
      <c r="D902" s="16" t="s">
        <v>68</v>
      </c>
      <c r="E902" s="17" t="n">
        <v>18</v>
      </c>
      <c r="F902" s="26" t="n">
        <v>0.00202385134569498</v>
      </c>
      <c r="G902" s="17" t="n">
        <v>160</v>
      </c>
      <c r="H902" s="17" t="n">
        <v>600</v>
      </c>
      <c r="I902" s="17"/>
      <c r="J902" s="17" t="n">
        <v>5</v>
      </c>
      <c r="K902" s="17"/>
      <c r="L902" s="17"/>
      <c r="M902" s="17"/>
      <c r="N902" s="27" t="str">
        <f aca="false">IF(F902=_xlfn.MINIFS($F$2:$F$948,$A$2:$A$948,$A902,$B$2:$B$948,$B902),"BEST","")</f>
        <v/>
      </c>
    </row>
    <row r="903" customFormat="false" ht="15" hidden="false" customHeight="false" outlineLevel="0" collapsed="false">
      <c r="A903" s="16" t="s">
        <v>51</v>
      </c>
      <c r="B903" s="17" t="n">
        <v>10</v>
      </c>
      <c r="C903" s="17" t="s">
        <v>67</v>
      </c>
      <c r="D903" s="16" t="s">
        <v>68</v>
      </c>
      <c r="E903" s="17" t="n">
        <v>19</v>
      </c>
      <c r="F903" s="26" t="n">
        <v>0.00199652465412474</v>
      </c>
      <c r="G903" s="17" t="n">
        <v>160</v>
      </c>
      <c r="H903" s="17" t="n">
        <v>600</v>
      </c>
      <c r="I903" s="17"/>
      <c r="J903" s="17" t="n">
        <v>5</v>
      </c>
      <c r="K903" s="17"/>
      <c r="L903" s="17"/>
      <c r="M903" s="17"/>
      <c r="N903" s="27" t="str">
        <f aca="false">IF(F903=_xlfn.MINIFS($F$2:$F$948,$A$2:$A$948,$A903,$B$2:$B$948,$B903),"BEST","")</f>
        <v/>
      </c>
    </row>
    <row r="904" customFormat="false" ht="15" hidden="false" customHeight="false" outlineLevel="0" collapsed="false">
      <c r="A904" s="16" t="s">
        <v>51</v>
      </c>
      <c r="B904" s="17" t="n">
        <v>10</v>
      </c>
      <c r="C904" s="17" t="s">
        <v>69</v>
      </c>
      <c r="D904" s="16" t="s">
        <v>68</v>
      </c>
      <c r="E904" s="17" t="n">
        <v>0</v>
      </c>
      <c r="F904" s="26" t="n">
        <v>0.0283008246179967</v>
      </c>
      <c r="G904" s="17" t="n">
        <v>160</v>
      </c>
      <c r="H904" s="17" t="n">
        <v>600</v>
      </c>
      <c r="I904" s="17"/>
      <c r="J904" s="17" t="n">
        <v>5</v>
      </c>
      <c r="K904" s="17"/>
      <c r="L904" s="17"/>
      <c r="M904" s="17"/>
      <c r="N904" s="27" t="str">
        <f aca="false">IF(F904=_xlfn.MINIFS($F$2:$F$948,$A$2:$A$948,$A904,$B$2:$B$948,$B904),"BEST","")</f>
        <v/>
      </c>
    </row>
    <row r="905" customFormat="false" ht="15" hidden="false" customHeight="false" outlineLevel="0" collapsed="false">
      <c r="A905" s="16" t="s">
        <v>51</v>
      </c>
      <c r="B905" s="17" t="n">
        <v>10</v>
      </c>
      <c r="C905" s="17" t="s">
        <v>69</v>
      </c>
      <c r="D905" s="16" t="s">
        <v>68</v>
      </c>
      <c r="E905" s="17" t="n">
        <v>1</v>
      </c>
      <c r="F905" s="26" t="n">
        <v>0.0154848531732876</v>
      </c>
      <c r="G905" s="17" t="n">
        <v>160</v>
      </c>
      <c r="H905" s="17" t="n">
        <v>600</v>
      </c>
      <c r="I905" s="17"/>
      <c r="J905" s="17" t="n">
        <v>5</v>
      </c>
      <c r="K905" s="17"/>
      <c r="L905" s="17"/>
      <c r="M905" s="17"/>
      <c r="N905" s="27" t="str">
        <f aca="false">IF(F905=_xlfn.MINIFS($F$2:$F$948,$A$2:$A$948,$A905,$B$2:$B$948,$B905),"BEST","")</f>
        <v/>
      </c>
    </row>
    <row r="906" customFormat="false" ht="15" hidden="false" customHeight="false" outlineLevel="0" collapsed="false">
      <c r="A906" s="16" t="s">
        <v>51</v>
      </c>
      <c r="B906" s="17" t="n">
        <v>10</v>
      </c>
      <c r="C906" s="17" t="s">
        <v>69</v>
      </c>
      <c r="D906" s="16" t="s">
        <v>68</v>
      </c>
      <c r="E906" s="17" t="n">
        <v>2</v>
      </c>
      <c r="F906" s="26" t="n">
        <v>0.0130590619598783</v>
      </c>
      <c r="G906" s="17" t="n">
        <v>160</v>
      </c>
      <c r="H906" s="17" t="n">
        <v>600</v>
      </c>
      <c r="I906" s="17"/>
      <c r="J906" s="17" t="n">
        <v>5</v>
      </c>
      <c r="K906" s="17"/>
      <c r="L906" s="17"/>
      <c r="M906" s="17"/>
      <c r="N906" s="27" t="str">
        <f aca="false">IF(F906=_xlfn.MINIFS($F$2:$F$948,$A$2:$A$948,$A906,$B$2:$B$948,$B906),"BEST","")</f>
        <v/>
      </c>
    </row>
    <row r="907" customFormat="false" ht="15" hidden="false" customHeight="false" outlineLevel="0" collapsed="false">
      <c r="A907" s="16" t="s">
        <v>51</v>
      </c>
      <c r="B907" s="17" t="n">
        <v>10</v>
      </c>
      <c r="C907" s="17" t="s">
        <v>69</v>
      </c>
      <c r="D907" s="16" t="s">
        <v>68</v>
      </c>
      <c r="E907" s="17" t="n">
        <v>3</v>
      </c>
      <c r="F907" s="26" t="n">
        <v>0.0150124831932598</v>
      </c>
      <c r="G907" s="17" t="n">
        <v>160</v>
      </c>
      <c r="H907" s="17" t="n">
        <v>600</v>
      </c>
      <c r="I907" s="17"/>
      <c r="J907" s="17" t="n">
        <v>5</v>
      </c>
      <c r="K907" s="17"/>
      <c r="L907" s="17"/>
      <c r="M907" s="17"/>
      <c r="N907" s="27" t="str">
        <f aca="false">IF(F907=_xlfn.MINIFS($F$2:$F$948,$A$2:$A$948,$A907,$B$2:$B$948,$B907),"BEST","")</f>
        <v/>
      </c>
    </row>
    <row r="908" customFormat="false" ht="15" hidden="false" customHeight="false" outlineLevel="0" collapsed="false">
      <c r="A908" s="16" t="s">
        <v>51</v>
      </c>
      <c r="B908" s="17" t="n">
        <v>10</v>
      </c>
      <c r="C908" s="17" t="s">
        <v>69</v>
      </c>
      <c r="D908" s="16" t="s">
        <v>68</v>
      </c>
      <c r="E908" s="17" t="n">
        <v>4</v>
      </c>
      <c r="F908" s="26" t="n">
        <v>0.0136148538688324</v>
      </c>
      <c r="G908" s="17" t="n">
        <v>160</v>
      </c>
      <c r="H908" s="17" t="n">
        <v>600</v>
      </c>
      <c r="I908" s="17"/>
      <c r="J908" s="17" t="n">
        <v>5</v>
      </c>
      <c r="K908" s="17"/>
      <c r="L908" s="17"/>
      <c r="M908" s="17"/>
      <c r="N908" s="27" t="str">
        <f aca="false">IF(F908=_xlfn.MINIFS($F$2:$F$948,$A$2:$A$948,$A908,$B$2:$B$948,$B908),"BEST","")</f>
        <v/>
      </c>
    </row>
    <row r="909" customFormat="false" ht="15" hidden="false" customHeight="false" outlineLevel="0" collapsed="false">
      <c r="A909" s="16" t="s">
        <v>51</v>
      </c>
      <c r="B909" s="17" t="n">
        <v>10</v>
      </c>
      <c r="C909" s="17" t="s">
        <v>69</v>
      </c>
      <c r="D909" s="16" t="s">
        <v>68</v>
      </c>
      <c r="E909" s="17" t="n">
        <v>5</v>
      </c>
      <c r="F909" s="26" t="n">
        <v>0.0155462674682855</v>
      </c>
      <c r="G909" s="17" t="n">
        <v>160</v>
      </c>
      <c r="H909" s="17" t="n">
        <v>600</v>
      </c>
      <c r="I909" s="17"/>
      <c r="J909" s="17" t="n">
        <v>5</v>
      </c>
      <c r="K909" s="17"/>
      <c r="L909" s="17"/>
      <c r="M909" s="17"/>
      <c r="N909" s="27" t="str">
        <f aca="false">IF(F909=_xlfn.MINIFS($F$2:$F$948,$A$2:$A$948,$A909,$B$2:$B$948,$B909),"BEST","")</f>
        <v/>
      </c>
    </row>
    <row r="910" customFormat="false" ht="15" hidden="false" customHeight="false" outlineLevel="0" collapsed="false">
      <c r="A910" s="16" t="s">
        <v>51</v>
      </c>
      <c r="B910" s="17" t="n">
        <v>10</v>
      </c>
      <c r="C910" s="17" t="s">
        <v>69</v>
      </c>
      <c r="D910" s="16" t="s">
        <v>68</v>
      </c>
      <c r="E910" s="17" t="n">
        <v>6</v>
      </c>
      <c r="F910" s="26" t="n">
        <v>0.0182623092328649</v>
      </c>
      <c r="G910" s="17" t="n">
        <v>160</v>
      </c>
      <c r="H910" s="17" t="n">
        <v>600</v>
      </c>
      <c r="I910" s="17"/>
      <c r="J910" s="17" t="n">
        <v>5</v>
      </c>
      <c r="K910" s="17"/>
      <c r="L910" s="17"/>
      <c r="M910" s="17"/>
      <c r="N910" s="27" t="str">
        <f aca="false">IF(F910=_xlfn.MINIFS($F$2:$F$948,$A$2:$A$948,$A910,$B$2:$B$948,$B910),"BEST","")</f>
        <v/>
      </c>
    </row>
    <row r="911" customFormat="false" ht="15" hidden="false" customHeight="false" outlineLevel="0" collapsed="false">
      <c r="A911" s="16" t="s">
        <v>51</v>
      </c>
      <c r="B911" s="17" t="n">
        <v>10</v>
      </c>
      <c r="C911" s="17" t="s">
        <v>69</v>
      </c>
      <c r="D911" s="16" t="s">
        <v>68</v>
      </c>
      <c r="E911" s="17" t="n">
        <v>7</v>
      </c>
      <c r="F911" s="26" t="n">
        <v>0.0118293145051635</v>
      </c>
      <c r="G911" s="17" t="n">
        <v>160</v>
      </c>
      <c r="H911" s="17" t="n">
        <v>600</v>
      </c>
      <c r="I911" s="17"/>
      <c r="J911" s="17" t="n">
        <v>5</v>
      </c>
      <c r="K911" s="17"/>
      <c r="L911" s="17"/>
      <c r="M911" s="17"/>
      <c r="N911" s="27" t="str">
        <f aca="false">IF(F911=_xlfn.MINIFS($F$2:$F$948,$A$2:$A$948,$A911,$B$2:$B$948,$B911),"BEST","")</f>
        <v/>
      </c>
    </row>
    <row r="912" customFormat="false" ht="15" hidden="false" customHeight="false" outlineLevel="0" collapsed="false">
      <c r="A912" s="16" t="s">
        <v>51</v>
      </c>
      <c r="B912" s="17" t="n">
        <v>10</v>
      </c>
      <c r="C912" s="17" t="s">
        <v>69</v>
      </c>
      <c r="D912" s="16" t="s">
        <v>68</v>
      </c>
      <c r="E912" s="17" t="n">
        <v>8</v>
      </c>
      <c r="F912" s="26" t="n">
        <v>0.0143904861841981</v>
      </c>
      <c r="G912" s="17" t="n">
        <v>160</v>
      </c>
      <c r="H912" s="17" t="n">
        <v>600</v>
      </c>
      <c r="I912" s="17"/>
      <c r="J912" s="17" t="n">
        <v>5</v>
      </c>
      <c r="K912" s="17"/>
      <c r="L912" s="17"/>
      <c r="M912" s="17"/>
      <c r="N912" s="27" t="str">
        <f aca="false">IF(F912=_xlfn.MINIFS($F$2:$F$948,$A$2:$A$948,$A912,$B$2:$B$948,$B912),"BEST","")</f>
        <v/>
      </c>
    </row>
    <row r="913" customFormat="false" ht="15" hidden="false" customHeight="false" outlineLevel="0" collapsed="false">
      <c r="A913" s="16" t="s">
        <v>51</v>
      </c>
      <c r="B913" s="17" t="n">
        <v>10</v>
      </c>
      <c r="C913" s="17" t="s">
        <v>69</v>
      </c>
      <c r="D913" s="16" t="s">
        <v>68</v>
      </c>
      <c r="E913" s="17" t="n">
        <v>9</v>
      </c>
      <c r="F913" s="26" t="n">
        <v>0.0137005049881151</v>
      </c>
      <c r="G913" s="17" t="n">
        <v>160</v>
      </c>
      <c r="H913" s="17" t="n">
        <v>600</v>
      </c>
      <c r="I913" s="17"/>
      <c r="J913" s="17" t="n">
        <v>5</v>
      </c>
      <c r="K913" s="17"/>
      <c r="L913" s="17"/>
      <c r="M913" s="17"/>
      <c r="N913" s="27" t="str">
        <f aca="false">IF(F913=_xlfn.MINIFS($F$2:$F$948,$A$2:$A$948,$A913,$B$2:$B$948,$B913),"BEST","")</f>
        <v/>
      </c>
    </row>
    <row r="914" customFormat="false" ht="15" hidden="false" customHeight="false" outlineLevel="0" collapsed="false">
      <c r="A914" s="16" t="s">
        <v>51</v>
      </c>
      <c r="B914" s="17" t="n">
        <v>10</v>
      </c>
      <c r="C914" s="17" t="s">
        <v>69</v>
      </c>
      <c r="D914" s="16" t="s">
        <v>68</v>
      </c>
      <c r="E914" s="17" t="n">
        <v>10</v>
      </c>
      <c r="F914" s="26" t="n">
        <v>0.0144313583497819</v>
      </c>
      <c r="G914" s="17" t="n">
        <v>160</v>
      </c>
      <c r="H914" s="17" t="n">
        <v>600</v>
      </c>
      <c r="I914" s="17"/>
      <c r="J914" s="17" t="n">
        <v>5</v>
      </c>
      <c r="K914" s="17"/>
      <c r="L914" s="17"/>
      <c r="M914" s="17"/>
      <c r="N914" s="27" t="str">
        <f aca="false">IF(F914=_xlfn.MINIFS($F$2:$F$948,$A$2:$A$948,$A914,$B$2:$B$948,$B914),"BEST","")</f>
        <v/>
      </c>
    </row>
    <row r="915" customFormat="false" ht="15" hidden="false" customHeight="false" outlineLevel="0" collapsed="false">
      <c r="A915" s="16" t="s">
        <v>51</v>
      </c>
      <c r="B915" s="17" t="n">
        <v>10</v>
      </c>
      <c r="C915" s="17" t="s">
        <v>69</v>
      </c>
      <c r="D915" s="16" t="s">
        <v>68</v>
      </c>
      <c r="E915" s="17" t="n">
        <v>11</v>
      </c>
      <c r="F915" s="26" t="n">
        <v>0.00998738977888687</v>
      </c>
      <c r="G915" s="17" t="n">
        <v>160</v>
      </c>
      <c r="H915" s="17" t="n">
        <v>600</v>
      </c>
      <c r="I915" s="17"/>
      <c r="J915" s="17" t="n">
        <v>5</v>
      </c>
      <c r="K915" s="17"/>
      <c r="L915" s="17"/>
      <c r="M915" s="17"/>
      <c r="N915" s="27" t="str">
        <f aca="false">IF(F915=_xlfn.MINIFS($F$2:$F$948,$A$2:$A$948,$A915,$B$2:$B$948,$B915),"BEST","")</f>
        <v/>
      </c>
    </row>
    <row r="916" customFormat="false" ht="15" hidden="false" customHeight="false" outlineLevel="0" collapsed="false">
      <c r="A916" s="16" t="s">
        <v>51</v>
      </c>
      <c r="B916" s="17" t="n">
        <v>10</v>
      </c>
      <c r="C916" s="17" t="s">
        <v>69</v>
      </c>
      <c r="D916" s="16" t="s">
        <v>68</v>
      </c>
      <c r="E916" s="17" t="n">
        <v>12</v>
      </c>
      <c r="F916" s="26" t="n">
        <v>0.0116882135163182</v>
      </c>
      <c r="G916" s="17" t="n">
        <v>160</v>
      </c>
      <c r="H916" s="17" t="n">
        <v>600</v>
      </c>
      <c r="I916" s="17"/>
      <c r="J916" s="17" t="n">
        <v>5</v>
      </c>
      <c r="K916" s="17"/>
      <c r="L916" s="17"/>
      <c r="M916" s="17"/>
      <c r="N916" s="27" t="str">
        <f aca="false">IF(F916=_xlfn.MINIFS($F$2:$F$948,$A$2:$A$948,$A916,$B$2:$B$948,$B916),"BEST","")</f>
        <v/>
      </c>
    </row>
    <row r="917" customFormat="false" ht="15" hidden="false" customHeight="false" outlineLevel="0" collapsed="false">
      <c r="A917" s="16" t="s">
        <v>51</v>
      </c>
      <c r="B917" s="17" t="n">
        <v>10</v>
      </c>
      <c r="C917" s="17" t="s">
        <v>69</v>
      </c>
      <c r="D917" s="16" t="s">
        <v>68</v>
      </c>
      <c r="E917" s="17" t="n">
        <v>13</v>
      </c>
      <c r="F917" s="26" t="n">
        <v>0.0202777737732215</v>
      </c>
      <c r="G917" s="17" t="n">
        <v>160</v>
      </c>
      <c r="H917" s="17" t="n">
        <v>600</v>
      </c>
      <c r="I917" s="17"/>
      <c r="J917" s="17" t="n">
        <v>5</v>
      </c>
      <c r="K917" s="17"/>
      <c r="L917" s="17"/>
      <c r="M917" s="17"/>
      <c r="N917" s="27" t="str">
        <f aca="false">IF(F917=_xlfn.MINIFS($F$2:$F$948,$A$2:$A$948,$A917,$B$2:$B$948,$B917),"BEST","")</f>
        <v/>
      </c>
    </row>
    <row r="918" customFormat="false" ht="15" hidden="false" customHeight="false" outlineLevel="0" collapsed="false">
      <c r="A918" s="16" t="s">
        <v>51</v>
      </c>
      <c r="B918" s="17" t="n">
        <v>10</v>
      </c>
      <c r="C918" s="17" t="s">
        <v>69</v>
      </c>
      <c r="D918" s="16" t="s">
        <v>68</v>
      </c>
      <c r="E918" s="17" t="n">
        <v>14</v>
      </c>
      <c r="F918" s="26" t="n">
        <v>0.0118231038518567</v>
      </c>
      <c r="G918" s="17" t="n">
        <v>160</v>
      </c>
      <c r="H918" s="17" t="n">
        <v>600</v>
      </c>
      <c r="I918" s="17"/>
      <c r="J918" s="17" t="n">
        <v>5</v>
      </c>
      <c r="K918" s="17"/>
      <c r="L918" s="17"/>
      <c r="M918" s="17"/>
      <c r="N918" s="27" t="str">
        <f aca="false">IF(F918=_xlfn.MINIFS($F$2:$F$948,$A$2:$A$948,$A918,$B$2:$B$948,$B918),"BEST","")</f>
        <v/>
      </c>
    </row>
    <row r="919" customFormat="false" ht="15" hidden="false" customHeight="false" outlineLevel="0" collapsed="false">
      <c r="A919" s="16" t="s">
        <v>51</v>
      </c>
      <c r="B919" s="17" t="n">
        <v>10</v>
      </c>
      <c r="C919" s="17" t="s">
        <v>69</v>
      </c>
      <c r="D919" s="16" t="s">
        <v>68</v>
      </c>
      <c r="E919" s="17" t="n">
        <v>15</v>
      </c>
      <c r="F919" s="26" t="n">
        <v>0.01406272976535</v>
      </c>
      <c r="G919" s="17" t="n">
        <v>160</v>
      </c>
      <c r="H919" s="17" t="n">
        <v>600</v>
      </c>
      <c r="I919" s="17"/>
      <c r="J919" s="17" t="n">
        <v>5</v>
      </c>
      <c r="K919" s="17"/>
      <c r="L919" s="17"/>
      <c r="M919" s="17"/>
      <c r="N919" s="27" t="str">
        <f aca="false">IF(F919=_xlfn.MINIFS($F$2:$F$948,$A$2:$A$948,$A919,$B$2:$B$948,$B919),"BEST","")</f>
        <v/>
      </c>
    </row>
    <row r="920" customFormat="false" ht="15" hidden="false" customHeight="false" outlineLevel="0" collapsed="false">
      <c r="A920" s="16" t="s">
        <v>51</v>
      </c>
      <c r="B920" s="17" t="n">
        <v>10</v>
      </c>
      <c r="C920" s="17" t="s">
        <v>69</v>
      </c>
      <c r="D920" s="16" t="s">
        <v>68</v>
      </c>
      <c r="E920" s="17" t="n">
        <v>16</v>
      </c>
      <c r="F920" s="26" t="n">
        <v>0.0165148690324377</v>
      </c>
      <c r="G920" s="17" t="n">
        <v>160</v>
      </c>
      <c r="H920" s="17" t="n">
        <v>600</v>
      </c>
      <c r="I920" s="17"/>
      <c r="J920" s="17" t="n">
        <v>5</v>
      </c>
      <c r="K920" s="17"/>
      <c r="L920" s="17"/>
      <c r="M920" s="17"/>
      <c r="N920" s="27" t="str">
        <f aca="false">IF(F920=_xlfn.MINIFS($F$2:$F$948,$A$2:$A$948,$A920,$B$2:$B$948,$B920),"BEST","")</f>
        <v/>
      </c>
    </row>
    <row r="921" customFormat="false" ht="15" hidden="false" customHeight="false" outlineLevel="0" collapsed="false">
      <c r="A921" s="16" t="s">
        <v>51</v>
      </c>
      <c r="B921" s="17" t="n">
        <v>10</v>
      </c>
      <c r="C921" s="17" t="s">
        <v>69</v>
      </c>
      <c r="D921" s="16" t="s">
        <v>68</v>
      </c>
      <c r="E921" s="17" t="n">
        <v>17</v>
      </c>
      <c r="F921" s="26" t="n">
        <v>0.0106362415808011</v>
      </c>
      <c r="G921" s="17" t="n">
        <v>160</v>
      </c>
      <c r="H921" s="17" t="n">
        <v>600</v>
      </c>
      <c r="I921" s="17"/>
      <c r="J921" s="17" t="n">
        <v>5</v>
      </c>
      <c r="K921" s="17"/>
      <c r="L921" s="17"/>
      <c r="M921" s="17"/>
      <c r="N921" s="27" t="str">
        <f aca="false">IF(F921=_xlfn.MINIFS($F$2:$F$948,$A$2:$A$948,$A921,$B$2:$B$948,$B921),"BEST","")</f>
        <v/>
      </c>
    </row>
    <row r="922" customFormat="false" ht="15" hidden="false" customHeight="false" outlineLevel="0" collapsed="false">
      <c r="A922" s="16" t="s">
        <v>51</v>
      </c>
      <c r="B922" s="17" t="n">
        <v>10</v>
      </c>
      <c r="C922" s="17" t="s">
        <v>69</v>
      </c>
      <c r="D922" s="16" t="s">
        <v>68</v>
      </c>
      <c r="E922" s="17" t="n">
        <v>18</v>
      </c>
      <c r="F922" s="26" t="n">
        <v>0.011369745863038</v>
      </c>
      <c r="G922" s="17" t="n">
        <v>160</v>
      </c>
      <c r="H922" s="17" t="n">
        <v>600</v>
      </c>
      <c r="I922" s="17"/>
      <c r="J922" s="17" t="n">
        <v>5</v>
      </c>
      <c r="K922" s="17"/>
      <c r="L922" s="17"/>
      <c r="M922" s="17"/>
      <c r="N922" s="27" t="str">
        <f aca="false">IF(F922=_xlfn.MINIFS($F$2:$F$948,$A$2:$A$948,$A922,$B$2:$B$948,$B922),"BEST","")</f>
        <v/>
      </c>
    </row>
    <row r="923" customFormat="false" ht="15" hidden="false" customHeight="false" outlineLevel="0" collapsed="false">
      <c r="A923" s="16" t="s">
        <v>51</v>
      </c>
      <c r="B923" s="17" t="n">
        <v>10</v>
      </c>
      <c r="C923" s="17" t="s">
        <v>69</v>
      </c>
      <c r="D923" s="16" t="s">
        <v>68</v>
      </c>
      <c r="E923" s="17" t="n">
        <v>19</v>
      </c>
      <c r="F923" s="26" t="n">
        <v>0.0137719398613587</v>
      </c>
      <c r="G923" s="17" t="n">
        <v>160</v>
      </c>
      <c r="H923" s="17" t="n">
        <v>600</v>
      </c>
      <c r="I923" s="17"/>
      <c r="J923" s="17" t="n">
        <v>5</v>
      </c>
      <c r="K923" s="17"/>
      <c r="L923" s="17"/>
      <c r="M923" s="17"/>
      <c r="N923" s="27" t="str">
        <f aca="false">IF(F923=_xlfn.MINIFS($F$2:$F$948,$A$2:$A$948,$A923,$B$2:$B$948,$B923),"BEST","")</f>
        <v/>
      </c>
    </row>
    <row r="924" customFormat="false" ht="15" hidden="false" customHeight="false" outlineLevel="0" collapsed="false">
      <c r="A924" s="16" t="s">
        <v>51</v>
      </c>
      <c r="B924" s="17" t="n">
        <v>10</v>
      </c>
      <c r="C924" s="17" t="s">
        <v>70</v>
      </c>
      <c r="D924" s="16" t="s">
        <v>68</v>
      </c>
      <c r="E924" s="17" t="n">
        <v>0</v>
      </c>
      <c r="F924" s="26" t="n">
        <v>0.00241247163083494</v>
      </c>
      <c r="G924" s="17" t="n">
        <v>21</v>
      </c>
      <c r="H924" s="17" t="n">
        <v>600</v>
      </c>
      <c r="I924" s="17"/>
      <c r="J924" s="17" t="n">
        <v>5</v>
      </c>
      <c r="K924" s="17"/>
      <c r="L924" s="17"/>
      <c r="M924" s="17" t="n">
        <v>2</v>
      </c>
      <c r="N924" s="27" t="str">
        <f aca="false">IF(F924=_xlfn.MINIFS($F$2:$F$948,$A$2:$A$948,$A924,$B$2:$B$948,$B924),"BEST","")</f>
        <v/>
      </c>
    </row>
    <row r="925" customFormat="false" ht="15" hidden="false" customHeight="false" outlineLevel="0" collapsed="false">
      <c r="A925" s="16" t="s">
        <v>51</v>
      </c>
      <c r="B925" s="17" t="n">
        <v>10</v>
      </c>
      <c r="C925" s="17" t="s">
        <v>70</v>
      </c>
      <c r="D925" s="16" t="s">
        <v>68</v>
      </c>
      <c r="E925" s="17" t="n">
        <v>1</v>
      </c>
      <c r="F925" s="26" t="n">
        <v>0.00241247163083494</v>
      </c>
      <c r="G925" s="17" t="n">
        <v>21</v>
      </c>
      <c r="H925" s="17" t="n">
        <v>600</v>
      </c>
      <c r="I925" s="17"/>
      <c r="J925" s="17" t="n">
        <v>5</v>
      </c>
      <c r="K925" s="17"/>
      <c r="L925" s="17"/>
      <c r="M925" s="17" t="n">
        <v>2</v>
      </c>
      <c r="N925" s="27" t="str">
        <f aca="false">IF(F925=_xlfn.MINIFS($F$2:$F$948,$A$2:$A$948,$A925,$B$2:$B$948,$B925),"BEST","")</f>
        <v/>
      </c>
    </row>
    <row r="926" customFormat="false" ht="15" hidden="false" customHeight="false" outlineLevel="0" collapsed="false">
      <c r="A926" s="16" t="s">
        <v>51</v>
      </c>
      <c r="B926" s="17" t="n">
        <v>10</v>
      </c>
      <c r="C926" s="17" t="s">
        <v>70</v>
      </c>
      <c r="D926" s="16" t="s">
        <v>68</v>
      </c>
      <c r="E926" s="17" t="n">
        <v>2</v>
      </c>
      <c r="F926" s="26" t="n">
        <v>0.00241247163083494</v>
      </c>
      <c r="G926" s="17" t="n">
        <v>21</v>
      </c>
      <c r="H926" s="17" t="n">
        <v>600</v>
      </c>
      <c r="I926" s="17"/>
      <c r="J926" s="17" t="n">
        <v>5</v>
      </c>
      <c r="K926" s="17"/>
      <c r="L926" s="17"/>
      <c r="M926" s="17" t="n">
        <v>2</v>
      </c>
      <c r="N926" s="27" t="str">
        <f aca="false">IF(F926=_xlfn.MINIFS($F$2:$F$948,$A$2:$A$948,$A926,$B$2:$B$948,$B926),"BEST","")</f>
        <v/>
      </c>
    </row>
    <row r="927" customFormat="false" ht="15" hidden="false" customHeight="false" outlineLevel="0" collapsed="false">
      <c r="A927" s="16" t="s">
        <v>51</v>
      </c>
      <c r="B927" s="17" t="n">
        <v>10</v>
      </c>
      <c r="C927" s="17" t="s">
        <v>70</v>
      </c>
      <c r="D927" s="16" t="s">
        <v>68</v>
      </c>
      <c r="E927" s="17" t="n">
        <v>3</v>
      </c>
      <c r="F927" s="26" t="n">
        <v>0.00241247163083494</v>
      </c>
      <c r="G927" s="17" t="n">
        <v>21</v>
      </c>
      <c r="H927" s="17" t="n">
        <v>600</v>
      </c>
      <c r="I927" s="17"/>
      <c r="J927" s="17" t="n">
        <v>5</v>
      </c>
      <c r="K927" s="17"/>
      <c r="L927" s="17"/>
      <c r="M927" s="17" t="n">
        <v>2</v>
      </c>
      <c r="N927" s="27" t="str">
        <f aca="false">IF(F927=_xlfn.MINIFS($F$2:$F$948,$A$2:$A$948,$A927,$B$2:$B$948,$B927),"BEST","")</f>
        <v/>
      </c>
    </row>
    <row r="928" customFormat="false" ht="15" hidden="false" customHeight="false" outlineLevel="0" collapsed="false">
      <c r="A928" s="16" t="s">
        <v>51</v>
      </c>
      <c r="B928" s="17" t="n">
        <v>10</v>
      </c>
      <c r="C928" s="17" t="s">
        <v>70</v>
      </c>
      <c r="D928" s="16" t="s">
        <v>68</v>
      </c>
      <c r="E928" s="17" t="n">
        <v>4</v>
      </c>
      <c r="F928" s="26" t="n">
        <v>0.00241247163083494</v>
      </c>
      <c r="G928" s="17" t="n">
        <v>21</v>
      </c>
      <c r="H928" s="17" t="n">
        <v>600</v>
      </c>
      <c r="I928" s="17"/>
      <c r="J928" s="17" t="n">
        <v>5</v>
      </c>
      <c r="K928" s="17"/>
      <c r="L928" s="17"/>
      <c r="M928" s="17" t="n">
        <v>2</v>
      </c>
      <c r="N928" s="27" t="str">
        <f aca="false">IF(F928=_xlfn.MINIFS($F$2:$F$948,$A$2:$A$948,$A928,$B$2:$B$948,$B928),"BEST","")</f>
        <v/>
      </c>
    </row>
    <row r="929" customFormat="false" ht="15" hidden="false" customHeight="false" outlineLevel="0" collapsed="false">
      <c r="A929" s="16" t="s">
        <v>51</v>
      </c>
      <c r="B929" s="17" t="n">
        <v>10</v>
      </c>
      <c r="C929" s="17" t="s">
        <v>70</v>
      </c>
      <c r="D929" s="16" t="s">
        <v>68</v>
      </c>
      <c r="E929" s="17" t="n">
        <v>5</v>
      </c>
      <c r="F929" s="26" t="n">
        <v>0.00241247163083494</v>
      </c>
      <c r="G929" s="17" t="n">
        <v>21</v>
      </c>
      <c r="H929" s="17" t="n">
        <v>600</v>
      </c>
      <c r="I929" s="17"/>
      <c r="J929" s="17" t="n">
        <v>5</v>
      </c>
      <c r="K929" s="17"/>
      <c r="L929" s="17"/>
      <c r="M929" s="17" t="n">
        <v>2</v>
      </c>
      <c r="N929" s="27" t="str">
        <f aca="false">IF(F929=_xlfn.MINIFS($F$2:$F$948,$A$2:$A$948,$A929,$B$2:$B$948,$B929),"BEST","")</f>
        <v/>
      </c>
    </row>
    <row r="930" customFormat="false" ht="15" hidden="false" customHeight="false" outlineLevel="0" collapsed="false">
      <c r="A930" s="16" t="s">
        <v>51</v>
      </c>
      <c r="B930" s="17" t="n">
        <v>10</v>
      </c>
      <c r="C930" s="17" t="s">
        <v>70</v>
      </c>
      <c r="D930" s="16" t="s">
        <v>68</v>
      </c>
      <c r="E930" s="17" t="n">
        <v>6</v>
      </c>
      <c r="F930" s="26" t="n">
        <v>0.00241247163083494</v>
      </c>
      <c r="G930" s="17" t="n">
        <v>21</v>
      </c>
      <c r="H930" s="17" t="n">
        <v>600</v>
      </c>
      <c r="I930" s="17"/>
      <c r="J930" s="17" t="n">
        <v>5</v>
      </c>
      <c r="K930" s="17"/>
      <c r="L930" s="17"/>
      <c r="M930" s="17" t="n">
        <v>2</v>
      </c>
      <c r="N930" s="27" t="str">
        <f aca="false">IF(F930=_xlfn.MINIFS($F$2:$F$948,$A$2:$A$948,$A930,$B$2:$B$948,$B930),"BEST","")</f>
        <v/>
      </c>
    </row>
    <row r="931" customFormat="false" ht="15" hidden="false" customHeight="false" outlineLevel="0" collapsed="false">
      <c r="A931" s="16" t="s">
        <v>51</v>
      </c>
      <c r="B931" s="17" t="n">
        <v>10</v>
      </c>
      <c r="C931" s="17" t="s">
        <v>70</v>
      </c>
      <c r="D931" s="16" t="s">
        <v>68</v>
      </c>
      <c r="E931" s="17" t="n">
        <v>7</v>
      </c>
      <c r="F931" s="26" t="n">
        <v>0.00241247163083494</v>
      </c>
      <c r="G931" s="17" t="n">
        <v>21</v>
      </c>
      <c r="H931" s="17" t="n">
        <v>600</v>
      </c>
      <c r="I931" s="17"/>
      <c r="J931" s="17" t="n">
        <v>5</v>
      </c>
      <c r="K931" s="17"/>
      <c r="L931" s="17"/>
      <c r="M931" s="17" t="n">
        <v>2</v>
      </c>
      <c r="N931" s="27" t="str">
        <f aca="false">IF(F931=_xlfn.MINIFS($F$2:$F$948,$A$2:$A$948,$A931,$B$2:$B$948,$B931),"BEST","")</f>
        <v/>
      </c>
    </row>
    <row r="932" customFormat="false" ht="15" hidden="false" customHeight="false" outlineLevel="0" collapsed="false">
      <c r="A932" s="16" t="s">
        <v>51</v>
      </c>
      <c r="B932" s="17" t="n">
        <v>10</v>
      </c>
      <c r="C932" s="17" t="s">
        <v>70</v>
      </c>
      <c r="D932" s="16" t="s">
        <v>68</v>
      </c>
      <c r="E932" s="17" t="n">
        <v>8</v>
      </c>
      <c r="F932" s="26" t="n">
        <v>0.00241247163083494</v>
      </c>
      <c r="G932" s="17" t="n">
        <v>21</v>
      </c>
      <c r="H932" s="17" t="n">
        <v>600</v>
      </c>
      <c r="I932" s="17"/>
      <c r="J932" s="17" t="n">
        <v>5</v>
      </c>
      <c r="K932" s="17"/>
      <c r="L932" s="17"/>
      <c r="M932" s="17" t="n">
        <v>2</v>
      </c>
      <c r="N932" s="27" t="str">
        <f aca="false">IF(F932=_xlfn.MINIFS($F$2:$F$948,$A$2:$A$948,$A932,$B$2:$B$948,$B932),"BEST","")</f>
        <v/>
      </c>
    </row>
    <row r="933" customFormat="false" ht="15" hidden="false" customHeight="false" outlineLevel="0" collapsed="false">
      <c r="A933" s="16" t="s">
        <v>51</v>
      </c>
      <c r="B933" s="17" t="n">
        <v>10</v>
      </c>
      <c r="C933" s="17" t="s">
        <v>70</v>
      </c>
      <c r="D933" s="16" t="s">
        <v>68</v>
      </c>
      <c r="E933" s="17" t="n">
        <v>9</v>
      </c>
      <c r="F933" s="26" t="n">
        <v>0.00241247163083494</v>
      </c>
      <c r="G933" s="17" t="n">
        <v>21</v>
      </c>
      <c r="H933" s="17" t="n">
        <v>600</v>
      </c>
      <c r="I933" s="17"/>
      <c r="J933" s="17" t="n">
        <v>5</v>
      </c>
      <c r="K933" s="17"/>
      <c r="L933" s="17"/>
      <c r="M933" s="17" t="n">
        <v>2</v>
      </c>
      <c r="N933" s="27" t="str">
        <f aca="false">IF(F933=_xlfn.MINIFS($F$2:$F$948,$A$2:$A$948,$A933,$B$2:$B$948,$B933),"BEST","")</f>
        <v/>
      </c>
    </row>
    <row r="934" customFormat="false" ht="15" hidden="false" customHeight="false" outlineLevel="0" collapsed="false">
      <c r="A934" s="16" t="s">
        <v>51</v>
      </c>
      <c r="B934" s="17" t="n">
        <v>10</v>
      </c>
      <c r="C934" s="17" t="s">
        <v>70</v>
      </c>
      <c r="D934" s="16" t="s">
        <v>68</v>
      </c>
      <c r="E934" s="17" t="n">
        <v>10</v>
      </c>
      <c r="F934" s="26" t="n">
        <v>0.00241247163083494</v>
      </c>
      <c r="G934" s="17" t="n">
        <v>21</v>
      </c>
      <c r="H934" s="17" t="n">
        <v>600</v>
      </c>
      <c r="I934" s="17"/>
      <c r="J934" s="17" t="n">
        <v>5</v>
      </c>
      <c r="K934" s="17"/>
      <c r="L934" s="17"/>
      <c r="M934" s="17" t="n">
        <v>2</v>
      </c>
      <c r="N934" s="27" t="str">
        <f aca="false">IF(F934=_xlfn.MINIFS($F$2:$F$948,$A$2:$A$948,$A934,$B$2:$B$948,$B934),"BEST","")</f>
        <v/>
      </c>
    </row>
    <row r="935" customFormat="false" ht="15" hidden="false" customHeight="false" outlineLevel="0" collapsed="false">
      <c r="A935" s="16" t="s">
        <v>51</v>
      </c>
      <c r="B935" s="17" t="n">
        <v>10</v>
      </c>
      <c r="C935" s="17" t="s">
        <v>70</v>
      </c>
      <c r="D935" s="16" t="s">
        <v>68</v>
      </c>
      <c r="E935" s="17" t="n">
        <v>11</v>
      </c>
      <c r="F935" s="26" t="n">
        <v>0.00241247163083494</v>
      </c>
      <c r="G935" s="17" t="n">
        <v>21</v>
      </c>
      <c r="H935" s="17" t="n">
        <v>600</v>
      </c>
      <c r="I935" s="17"/>
      <c r="J935" s="17" t="n">
        <v>5</v>
      </c>
      <c r="K935" s="17"/>
      <c r="L935" s="17"/>
      <c r="M935" s="17" t="n">
        <v>2</v>
      </c>
      <c r="N935" s="27" t="str">
        <f aca="false">IF(F935=_xlfn.MINIFS($F$2:$F$948,$A$2:$A$948,$A935,$B$2:$B$948,$B935),"BEST","")</f>
        <v/>
      </c>
    </row>
    <row r="936" customFormat="false" ht="15" hidden="false" customHeight="false" outlineLevel="0" collapsed="false">
      <c r="A936" s="16" t="s">
        <v>51</v>
      </c>
      <c r="B936" s="17" t="n">
        <v>10</v>
      </c>
      <c r="C936" s="17" t="s">
        <v>70</v>
      </c>
      <c r="D936" s="16" t="s">
        <v>68</v>
      </c>
      <c r="E936" s="17" t="n">
        <v>12</v>
      </c>
      <c r="F936" s="26" t="n">
        <v>0.00241247163083494</v>
      </c>
      <c r="G936" s="17" t="n">
        <v>21</v>
      </c>
      <c r="H936" s="17" t="n">
        <v>600</v>
      </c>
      <c r="I936" s="17"/>
      <c r="J936" s="17" t="n">
        <v>5</v>
      </c>
      <c r="K936" s="17"/>
      <c r="L936" s="17"/>
      <c r="M936" s="17" t="n">
        <v>2</v>
      </c>
      <c r="N936" s="27" t="str">
        <f aca="false">IF(F936=_xlfn.MINIFS($F$2:$F$948,$A$2:$A$948,$A936,$B$2:$B$948,$B936),"BEST","")</f>
        <v/>
      </c>
    </row>
    <row r="937" customFormat="false" ht="15" hidden="false" customHeight="false" outlineLevel="0" collapsed="false">
      <c r="A937" s="16" t="s">
        <v>51</v>
      </c>
      <c r="B937" s="17" t="n">
        <v>10</v>
      </c>
      <c r="C937" s="17" t="s">
        <v>70</v>
      </c>
      <c r="D937" s="16" t="s">
        <v>68</v>
      </c>
      <c r="E937" s="17" t="n">
        <v>13</v>
      </c>
      <c r="F937" s="26" t="n">
        <v>0.00241247163083494</v>
      </c>
      <c r="G937" s="17" t="n">
        <v>21</v>
      </c>
      <c r="H937" s="17" t="n">
        <v>600</v>
      </c>
      <c r="I937" s="17"/>
      <c r="J937" s="17" t="n">
        <v>5</v>
      </c>
      <c r="K937" s="17"/>
      <c r="L937" s="17"/>
      <c r="M937" s="17" t="n">
        <v>2</v>
      </c>
      <c r="N937" s="27" t="str">
        <f aca="false">IF(F937=_xlfn.MINIFS($F$2:$F$948,$A$2:$A$948,$A937,$B$2:$B$948,$B937),"BEST","")</f>
        <v/>
      </c>
    </row>
    <row r="938" customFormat="false" ht="15" hidden="false" customHeight="false" outlineLevel="0" collapsed="false">
      <c r="A938" s="16" t="s">
        <v>51</v>
      </c>
      <c r="B938" s="17" t="n">
        <v>10</v>
      </c>
      <c r="C938" s="17" t="s">
        <v>70</v>
      </c>
      <c r="D938" s="16" t="s">
        <v>68</v>
      </c>
      <c r="E938" s="17" t="n">
        <v>14</v>
      </c>
      <c r="F938" s="26" t="n">
        <v>0.00241247163083494</v>
      </c>
      <c r="G938" s="17" t="n">
        <v>21</v>
      </c>
      <c r="H938" s="17" t="n">
        <v>600</v>
      </c>
      <c r="I938" s="17"/>
      <c r="J938" s="17" t="n">
        <v>5</v>
      </c>
      <c r="K938" s="17"/>
      <c r="L938" s="17"/>
      <c r="M938" s="17" t="n">
        <v>2</v>
      </c>
      <c r="N938" s="27" t="str">
        <f aca="false">IF(F938=_xlfn.MINIFS($F$2:$F$948,$A$2:$A$948,$A938,$B$2:$B$948,$B938),"BEST","")</f>
        <v/>
      </c>
    </row>
    <row r="939" customFormat="false" ht="15" hidden="false" customHeight="false" outlineLevel="0" collapsed="false">
      <c r="A939" s="16" t="s">
        <v>51</v>
      </c>
      <c r="B939" s="17" t="n">
        <v>10</v>
      </c>
      <c r="C939" s="17" t="s">
        <v>70</v>
      </c>
      <c r="D939" s="16" t="s">
        <v>68</v>
      </c>
      <c r="E939" s="17" t="n">
        <v>15</v>
      </c>
      <c r="F939" s="26" t="n">
        <v>0.00241247163083494</v>
      </c>
      <c r="G939" s="17" t="n">
        <v>21</v>
      </c>
      <c r="H939" s="17" t="n">
        <v>600</v>
      </c>
      <c r="I939" s="17"/>
      <c r="J939" s="17" t="n">
        <v>5</v>
      </c>
      <c r="K939" s="17"/>
      <c r="L939" s="17"/>
      <c r="M939" s="17" t="n">
        <v>2</v>
      </c>
      <c r="N939" s="27" t="str">
        <f aca="false">IF(F939=_xlfn.MINIFS($F$2:$F$948,$A$2:$A$948,$A939,$B$2:$B$948,$B939),"BEST","")</f>
        <v/>
      </c>
    </row>
    <row r="940" customFormat="false" ht="15" hidden="false" customHeight="false" outlineLevel="0" collapsed="false">
      <c r="A940" s="16" t="s">
        <v>51</v>
      </c>
      <c r="B940" s="17" t="n">
        <v>10</v>
      </c>
      <c r="C940" s="17" t="s">
        <v>70</v>
      </c>
      <c r="D940" s="16" t="s">
        <v>68</v>
      </c>
      <c r="E940" s="17" t="n">
        <v>16</v>
      </c>
      <c r="F940" s="26" t="n">
        <v>0.00241247163083494</v>
      </c>
      <c r="G940" s="17" t="n">
        <v>21</v>
      </c>
      <c r="H940" s="17" t="n">
        <v>600</v>
      </c>
      <c r="I940" s="17"/>
      <c r="J940" s="17" t="n">
        <v>5</v>
      </c>
      <c r="K940" s="17"/>
      <c r="L940" s="17"/>
      <c r="M940" s="17" t="n">
        <v>2</v>
      </c>
      <c r="N940" s="27" t="str">
        <f aca="false">IF(F940=_xlfn.MINIFS($F$2:$F$948,$A$2:$A$948,$A940,$B$2:$B$948,$B940),"BEST","")</f>
        <v/>
      </c>
    </row>
    <row r="941" customFormat="false" ht="15" hidden="false" customHeight="false" outlineLevel="0" collapsed="false">
      <c r="A941" s="16" t="s">
        <v>51</v>
      </c>
      <c r="B941" s="17" t="n">
        <v>10</v>
      </c>
      <c r="C941" s="17" t="s">
        <v>70</v>
      </c>
      <c r="D941" s="16" t="s">
        <v>68</v>
      </c>
      <c r="E941" s="17" t="n">
        <v>17</v>
      </c>
      <c r="F941" s="26" t="n">
        <v>0.00241247163083494</v>
      </c>
      <c r="G941" s="17" t="n">
        <v>21</v>
      </c>
      <c r="H941" s="17" t="n">
        <v>600</v>
      </c>
      <c r="I941" s="17"/>
      <c r="J941" s="17" t="n">
        <v>5</v>
      </c>
      <c r="K941" s="17"/>
      <c r="L941" s="17"/>
      <c r="M941" s="17" t="n">
        <v>2</v>
      </c>
      <c r="N941" s="27" t="str">
        <f aca="false">IF(F941=_xlfn.MINIFS($F$2:$F$948,$A$2:$A$948,$A941,$B$2:$B$948,$B941),"BEST","")</f>
        <v/>
      </c>
    </row>
    <row r="942" customFormat="false" ht="15" hidden="false" customHeight="false" outlineLevel="0" collapsed="false">
      <c r="A942" s="16" t="s">
        <v>51</v>
      </c>
      <c r="B942" s="17" t="n">
        <v>10</v>
      </c>
      <c r="C942" s="17" t="s">
        <v>70</v>
      </c>
      <c r="D942" s="16" t="s">
        <v>68</v>
      </c>
      <c r="E942" s="17" t="n">
        <v>18</v>
      </c>
      <c r="F942" s="26" t="n">
        <v>0.00241247163083494</v>
      </c>
      <c r="G942" s="17" t="n">
        <v>21</v>
      </c>
      <c r="H942" s="17" t="n">
        <v>600</v>
      </c>
      <c r="I942" s="17"/>
      <c r="J942" s="17" t="n">
        <v>5</v>
      </c>
      <c r="K942" s="17"/>
      <c r="L942" s="17"/>
      <c r="M942" s="17" t="n">
        <v>2</v>
      </c>
      <c r="N942" s="27" t="str">
        <f aca="false">IF(F942=_xlfn.MINIFS($F$2:$F$948,$A$2:$A$948,$A942,$B$2:$B$948,$B942),"BEST","")</f>
        <v/>
      </c>
    </row>
    <row r="943" customFormat="false" ht="15" hidden="false" customHeight="false" outlineLevel="0" collapsed="false">
      <c r="A943" s="16" t="s">
        <v>51</v>
      </c>
      <c r="B943" s="17" t="n">
        <v>10</v>
      </c>
      <c r="C943" s="17" t="s">
        <v>70</v>
      </c>
      <c r="D943" s="16" t="s">
        <v>68</v>
      </c>
      <c r="E943" s="17" t="n">
        <v>19</v>
      </c>
      <c r="F943" s="26" t="n">
        <v>0.00241247163083494</v>
      </c>
      <c r="G943" s="17" t="n">
        <v>21</v>
      </c>
      <c r="H943" s="17" t="n">
        <v>600</v>
      </c>
      <c r="I943" s="17"/>
      <c r="J943" s="17" t="n">
        <v>5</v>
      </c>
      <c r="K943" s="17"/>
      <c r="L943" s="17"/>
      <c r="M943" s="17" t="n">
        <v>2</v>
      </c>
      <c r="N943" s="27" t="str">
        <f aca="false">IF(F943=_xlfn.MINIFS($F$2:$F$948,$A$2:$A$948,$A943,$B$2:$B$948,$B943),"BEST","")</f>
        <v/>
      </c>
    </row>
    <row r="944" customFormat="false" ht="15" hidden="false" customHeight="false" outlineLevel="0" collapsed="false">
      <c r="A944" s="22" t="s">
        <v>51</v>
      </c>
      <c r="B944" s="23" t="n">
        <v>10</v>
      </c>
      <c r="C944" s="23" t="s">
        <v>71</v>
      </c>
      <c r="D944" s="22" t="s">
        <v>72</v>
      </c>
      <c r="E944" s="23" t="n">
        <v>0</v>
      </c>
      <c r="F944" s="28" t="n">
        <v>0.00458631207796297</v>
      </c>
      <c r="G944" s="23" t="n">
        <v>160</v>
      </c>
      <c r="H944" s="23" t="n">
        <v>600</v>
      </c>
      <c r="I944" s="23" t="n">
        <v>4</v>
      </c>
      <c r="J944" s="23" t="n">
        <v>5</v>
      </c>
      <c r="K944" s="22" t="s">
        <v>73</v>
      </c>
      <c r="L944" s="22" t="s">
        <v>74</v>
      </c>
      <c r="M944" s="23"/>
      <c r="N944" s="27" t="str">
        <f aca="false">IF(F944=_xlfn.MINIFS($F$2:$F$948,$A$2:$A$948,$A944,$B$2:$B$948,$B944),"BEST","")</f>
        <v/>
      </c>
    </row>
    <row r="945" customFormat="false" ht="15" hidden="false" customHeight="false" outlineLevel="0" collapsed="false">
      <c r="A945" s="22" t="s">
        <v>51</v>
      </c>
      <c r="B945" s="23" t="n">
        <v>10</v>
      </c>
      <c r="C945" s="23" t="s">
        <v>71</v>
      </c>
      <c r="D945" s="22" t="s">
        <v>72</v>
      </c>
      <c r="E945" s="23" t="n">
        <v>1</v>
      </c>
      <c r="F945" s="28" t="n">
        <v>0.00479740604989149</v>
      </c>
      <c r="G945" s="23" t="n">
        <v>160</v>
      </c>
      <c r="H945" s="23" t="n">
        <v>600</v>
      </c>
      <c r="I945" s="23" t="n">
        <v>4</v>
      </c>
      <c r="J945" s="23" t="n">
        <v>5</v>
      </c>
      <c r="K945" s="22" t="s">
        <v>73</v>
      </c>
      <c r="L945" s="22" t="s">
        <v>74</v>
      </c>
      <c r="M945" s="23"/>
      <c r="N945" s="27" t="str">
        <f aca="false">IF(F945=_xlfn.MINIFS($F$2:$F$948,$A$2:$A$948,$A945,$B$2:$B$948,$B945),"BEST","")</f>
        <v/>
      </c>
    </row>
    <row r="946" customFormat="false" ht="15" hidden="false" customHeight="false" outlineLevel="0" collapsed="false">
      <c r="A946" s="22" t="s">
        <v>51</v>
      </c>
      <c r="B946" s="23" t="n">
        <v>10</v>
      </c>
      <c r="C946" s="23" t="s">
        <v>71</v>
      </c>
      <c r="D946" s="22" t="s">
        <v>72</v>
      </c>
      <c r="E946" s="23" t="n">
        <v>2</v>
      </c>
      <c r="F946" s="28" t="n">
        <v>0.00455675707081941</v>
      </c>
      <c r="G946" s="23" t="n">
        <v>160</v>
      </c>
      <c r="H946" s="23" t="n">
        <v>600</v>
      </c>
      <c r="I946" s="23" t="n">
        <v>4</v>
      </c>
      <c r="J946" s="23" t="n">
        <v>5</v>
      </c>
      <c r="K946" s="22" t="s">
        <v>73</v>
      </c>
      <c r="L946" s="22" t="s">
        <v>74</v>
      </c>
      <c r="M946" s="23"/>
      <c r="N946" s="27" t="str">
        <f aca="false">IF(F946=_xlfn.MINIFS($F$2:$F$948,$A$2:$A$948,$A946,$B$2:$B$948,$B946),"BEST","")</f>
        <v/>
      </c>
    </row>
    <row r="947" customFormat="false" ht="15" hidden="false" customHeight="false" outlineLevel="0" collapsed="false">
      <c r="A947" s="22" t="s">
        <v>51</v>
      </c>
      <c r="B947" s="23" t="n">
        <v>10</v>
      </c>
      <c r="C947" s="23" t="s">
        <v>71</v>
      </c>
      <c r="D947" s="22" t="s">
        <v>72</v>
      </c>
      <c r="E947" s="23" t="n">
        <v>3</v>
      </c>
      <c r="F947" s="28" t="n">
        <v>0.00483703207685335</v>
      </c>
      <c r="G947" s="23" t="n">
        <v>160</v>
      </c>
      <c r="H947" s="23" t="n">
        <v>600</v>
      </c>
      <c r="I947" s="23" t="n">
        <v>4</v>
      </c>
      <c r="J947" s="23" t="n">
        <v>5</v>
      </c>
      <c r="K947" s="22" t="s">
        <v>73</v>
      </c>
      <c r="L947" s="22" t="s">
        <v>74</v>
      </c>
      <c r="M947" s="23"/>
      <c r="N947" s="27" t="str">
        <f aca="false">IF(F947=_xlfn.MINIFS($F$2:$F$948,$A$2:$A$948,$A947,$B$2:$B$948,$B947),"BEST","")</f>
        <v/>
      </c>
    </row>
    <row r="948" customFormat="false" ht="15" hidden="false" customHeight="false" outlineLevel="0" collapsed="false">
      <c r="A948" s="22" t="s">
        <v>51</v>
      </c>
      <c r="B948" s="23" t="n">
        <v>10</v>
      </c>
      <c r="C948" s="23" t="s">
        <v>71</v>
      </c>
      <c r="D948" s="22" t="s">
        <v>72</v>
      </c>
      <c r="E948" s="23" t="n">
        <v>4</v>
      </c>
      <c r="F948" s="28" t="n">
        <v>0.004722425207622</v>
      </c>
      <c r="G948" s="23" t="n">
        <v>160</v>
      </c>
      <c r="H948" s="23" t="n">
        <v>600</v>
      </c>
      <c r="I948" s="23" t="n">
        <v>4</v>
      </c>
      <c r="J948" s="23" t="n">
        <v>5</v>
      </c>
      <c r="K948" s="22" t="s">
        <v>73</v>
      </c>
      <c r="L948" s="22" t="s">
        <v>74</v>
      </c>
      <c r="M948" s="23"/>
      <c r="N948" s="27" t="str">
        <f aca="false">IF(F948=_xlfn.MINIFS($F$2:$F$948,$A$2:$A$948,$A948,$B$2:$B$948,$B948),"BEST","")</f>
        <v/>
      </c>
    </row>
  </sheetData>
  <autoFilter ref="A1:N948"/>
  <conditionalFormatting sqref="F2:F948">
    <cfRule type="expression" priority="2" aboveAverage="0" equalAverage="0" bottom="0" percent="0" rank="0" text="" dxfId="8">
      <formula>$N2="BEST"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0"/>
    <col collapsed="false" customWidth="true" hidden="false" outlineLevel="0" max="4" min="4" style="0" width="11"/>
    <col collapsed="false" customWidth="true" hidden="false" outlineLevel="0" max="5" min="5" style="0" width="40"/>
    <col collapsed="false" customWidth="true" hidden="false" outlineLevel="0" max="6" min="6" style="0" width="6"/>
    <col collapsed="false" customWidth="true" hidden="false" outlineLevel="0" max="9" min="7" style="0" width="12"/>
    <col collapsed="false" customWidth="true" hidden="false" outlineLevel="0" max="11" min="10" style="0" width="10"/>
    <col collapsed="false" customWidth="true" hidden="false" outlineLevel="0" max="12" min="12" style="0" width="11"/>
    <col collapsed="false" customWidth="true" hidden="false" outlineLevel="0" max="13" min="13" style="0" width="9"/>
    <col collapsed="false" customWidth="true" hidden="false" outlineLevel="0" max="14" min="14" style="0" width="11"/>
    <col collapsed="false" customWidth="true" hidden="false" outlineLevel="0" max="15" min="15" style="0" width="9"/>
    <col collapsed="false" customWidth="true" hidden="false" outlineLevel="0" max="16" min="16" style="0" width="10"/>
    <col collapsed="false" customWidth="true" hidden="false" outlineLevel="0" max="17" min="17" style="0" width="9"/>
    <col collapsed="false" customWidth="true" hidden="false" outlineLevel="0" max="18" min="18" style="0" width="14"/>
  </cols>
  <sheetData>
    <row r="1" customFormat="false" ht="30" hidden="false" customHeight="true" outlineLevel="0" collapsed="false">
      <c r="A1" s="10" t="s">
        <v>34</v>
      </c>
      <c r="B1" s="10" t="s">
        <v>57</v>
      </c>
      <c r="C1" s="10" t="s">
        <v>58</v>
      </c>
      <c r="D1" s="10" t="s">
        <v>75</v>
      </c>
      <c r="E1" s="10" t="s">
        <v>76</v>
      </c>
      <c r="F1" s="10" t="s">
        <v>39</v>
      </c>
      <c r="G1" s="10" t="s">
        <v>23</v>
      </c>
      <c r="H1" s="10" t="s">
        <v>77</v>
      </c>
      <c r="I1" s="10" t="s">
        <v>78</v>
      </c>
      <c r="J1" s="10" t="s">
        <v>79</v>
      </c>
      <c r="K1" s="10" t="s">
        <v>80</v>
      </c>
      <c r="L1" s="10" t="s">
        <v>81</v>
      </c>
      <c r="M1" s="10" t="s">
        <v>82</v>
      </c>
      <c r="N1" s="10" t="s">
        <v>83</v>
      </c>
      <c r="O1" s="10" t="s">
        <v>84</v>
      </c>
      <c r="P1" s="10" t="s">
        <v>85</v>
      </c>
      <c r="Q1" s="10" t="s">
        <v>86</v>
      </c>
      <c r="R1" s="10" t="s">
        <v>87</v>
      </c>
    </row>
    <row r="2" customFormat="false" ht="15" hidden="false" customHeight="false" outlineLevel="0" collapsed="false">
      <c r="A2" s="16" t="s">
        <v>45</v>
      </c>
      <c r="B2" s="16" t="s">
        <v>88</v>
      </c>
      <c r="C2" s="16" t="s">
        <v>68</v>
      </c>
      <c r="D2" s="16" t="s">
        <v>89</v>
      </c>
      <c r="E2" s="17" t="s">
        <v>90</v>
      </c>
      <c r="F2" s="17" t="n">
        <v>0</v>
      </c>
      <c r="G2" s="19" t="n">
        <v>6.89014090241775E-007</v>
      </c>
      <c r="H2" s="19" t="n">
        <v>1.99774144246229E-007</v>
      </c>
      <c r="I2" s="19" t="n">
        <v>1.59582222549916E-007</v>
      </c>
      <c r="J2" s="18" t="n">
        <v>0.999999999999525</v>
      </c>
      <c r="K2" s="29" t="n">
        <v>0.000218946670183046</v>
      </c>
      <c r="L2" s="19" t="n">
        <v>6.51786304484148E-007</v>
      </c>
      <c r="M2" s="17" t="n">
        <v>10</v>
      </c>
      <c r="N2" s="17" t="n">
        <v>11</v>
      </c>
      <c r="O2" s="17" t="n">
        <v>3</v>
      </c>
      <c r="P2" s="17" t="n">
        <v>799</v>
      </c>
      <c r="Q2" s="17" t="n">
        <v>299</v>
      </c>
      <c r="R2" s="27" t="str">
        <f aca="false">IF(G2=_xlfn.MINIFS($G$2:$G$361,$A$2:$A$361,$A2),"BEST","")</f>
        <v>BEST</v>
      </c>
    </row>
    <row r="3" customFormat="false" ht="15" hidden="false" customHeight="false" outlineLevel="0" collapsed="false">
      <c r="A3" s="16" t="s">
        <v>45</v>
      </c>
      <c r="B3" s="16" t="s">
        <v>88</v>
      </c>
      <c r="C3" s="16" t="s">
        <v>68</v>
      </c>
      <c r="D3" s="16" t="s">
        <v>89</v>
      </c>
      <c r="E3" s="17" t="s">
        <v>90</v>
      </c>
      <c r="F3" s="17" t="n">
        <v>1</v>
      </c>
      <c r="G3" s="19" t="n">
        <v>6.89014090241775E-007</v>
      </c>
      <c r="H3" s="19" t="n">
        <v>1.99774144246229E-007</v>
      </c>
      <c r="I3" s="19" t="n">
        <v>1.59582222549916E-007</v>
      </c>
      <c r="J3" s="18" t="n">
        <v>0.999999999999525</v>
      </c>
      <c r="K3" s="29" t="n">
        <v>0.000218946670183046</v>
      </c>
      <c r="L3" s="19" t="n">
        <v>6.51786304484148E-007</v>
      </c>
      <c r="M3" s="17" t="n">
        <v>10</v>
      </c>
      <c r="N3" s="17" t="n">
        <v>11</v>
      </c>
      <c r="O3" s="17" t="n">
        <v>3</v>
      </c>
      <c r="P3" s="17" t="n">
        <v>799</v>
      </c>
      <c r="Q3" s="17" t="n">
        <v>299</v>
      </c>
      <c r="R3" s="27" t="str">
        <f aca="false">IF(G3=_xlfn.MINIFS($G$2:$G$361,$A$2:$A$361,$A3),"BEST","")</f>
        <v>BEST</v>
      </c>
    </row>
    <row r="4" customFormat="false" ht="15" hidden="false" customHeight="false" outlineLevel="0" collapsed="false">
      <c r="A4" s="16" t="s">
        <v>45</v>
      </c>
      <c r="B4" s="16" t="s">
        <v>88</v>
      </c>
      <c r="C4" s="16" t="s">
        <v>68</v>
      </c>
      <c r="D4" s="16" t="s">
        <v>89</v>
      </c>
      <c r="E4" s="17" t="s">
        <v>90</v>
      </c>
      <c r="F4" s="17" t="n">
        <v>2</v>
      </c>
      <c r="G4" s="19" t="n">
        <v>6.89014090241775E-007</v>
      </c>
      <c r="H4" s="19" t="n">
        <v>1.99774144246229E-007</v>
      </c>
      <c r="I4" s="19" t="n">
        <v>1.59582222549916E-007</v>
      </c>
      <c r="J4" s="18" t="n">
        <v>0.999999999999525</v>
      </c>
      <c r="K4" s="29" t="n">
        <v>0.000218946670183046</v>
      </c>
      <c r="L4" s="19" t="n">
        <v>6.51786304484148E-007</v>
      </c>
      <c r="M4" s="17" t="n">
        <v>10</v>
      </c>
      <c r="N4" s="17" t="n">
        <v>11</v>
      </c>
      <c r="O4" s="17" t="n">
        <v>3</v>
      </c>
      <c r="P4" s="17" t="n">
        <v>799</v>
      </c>
      <c r="Q4" s="17" t="n">
        <v>299</v>
      </c>
      <c r="R4" s="27" t="str">
        <f aca="false">IF(G4=_xlfn.MINIFS($G$2:$G$361,$A$2:$A$361,$A4),"BEST","")</f>
        <v>BEST</v>
      </c>
    </row>
    <row r="5" customFormat="false" ht="15" hidden="false" customHeight="false" outlineLevel="0" collapsed="false">
      <c r="A5" s="16" t="s">
        <v>45</v>
      </c>
      <c r="B5" s="16" t="s">
        <v>88</v>
      </c>
      <c r="C5" s="16" t="s">
        <v>68</v>
      </c>
      <c r="D5" s="16" t="s">
        <v>89</v>
      </c>
      <c r="E5" s="17" t="s">
        <v>90</v>
      </c>
      <c r="F5" s="17" t="n">
        <v>3</v>
      </c>
      <c r="G5" s="19" t="n">
        <v>6.89014090241775E-007</v>
      </c>
      <c r="H5" s="19" t="n">
        <v>1.99774144246229E-007</v>
      </c>
      <c r="I5" s="19" t="n">
        <v>1.59582222549916E-007</v>
      </c>
      <c r="J5" s="18" t="n">
        <v>0.999999999999525</v>
      </c>
      <c r="K5" s="29" t="n">
        <v>0.000218946670183046</v>
      </c>
      <c r="L5" s="19" t="n">
        <v>6.51786304484148E-007</v>
      </c>
      <c r="M5" s="17" t="n">
        <v>10</v>
      </c>
      <c r="N5" s="17" t="n">
        <v>11</v>
      </c>
      <c r="O5" s="17" t="n">
        <v>3</v>
      </c>
      <c r="P5" s="17" t="n">
        <v>799</v>
      </c>
      <c r="Q5" s="17" t="n">
        <v>299</v>
      </c>
      <c r="R5" s="27" t="str">
        <f aca="false">IF(G5=_xlfn.MINIFS($G$2:$G$361,$A$2:$A$361,$A5),"BEST","")</f>
        <v>BEST</v>
      </c>
    </row>
    <row r="6" customFormat="false" ht="15" hidden="false" customHeight="false" outlineLevel="0" collapsed="false">
      <c r="A6" s="16" t="s">
        <v>45</v>
      </c>
      <c r="B6" s="16" t="s">
        <v>88</v>
      </c>
      <c r="C6" s="16" t="s">
        <v>68</v>
      </c>
      <c r="D6" s="16" t="s">
        <v>89</v>
      </c>
      <c r="E6" s="17" t="s">
        <v>90</v>
      </c>
      <c r="F6" s="17" t="n">
        <v>4</v>
      </c>
      <c r="G6" s="19" t="n">
        <v>6.89014090241775E-007</v>
      </c>
      <c r="H6" s="19" t="n">
        <v>1.99774144246229E-007</v>
      </c>
      <c r="I6" s="19" t="n">
        <v>1.59582222549916E-007</v>
      </c>
      <c r="J6" s="18" t="n">
        <v>0.999999999999525</v>
      </c>
      <c r="K6" s="29" t="n">
        <v>0.000218946670183046</v>
      </c>
      <c r="L6" s="19" t="n">
        <v>6.51786304484148E-007</v>
      </c>
      <c r="M6" s="17" t="n">
        <v>10</v>
      </c>
      <c r="N6" s="17" t="n">
        <v>11</v>
      </c>
      <c r="O6" s="17" t="n">
        <v>3</v>
      </c>
      <c r="P6" s="17" t="n">
        <v>799</v>
      </c>
      <c r="Q6" s="17" t="n">
        <v>299</v>
      </c>
      <c r="R6" s="27" t="str">
        <f aca="false">IF(G6=_xlfn.MINIFS($G$2:$G$361,$A$2:$A$361,$A6),"BEST","")</f>
        <v>BEST</v>
      </c>
    </row>
    <row r="7" customFormat="false" ht="15" hidden="false" customHeight="false" outlineLevel="0" collapsed="false">
      <c r="A7" s="16" t="s">
        <v>45</v>
      </c>
      <c r="B7" s="16" t="s">
        <v>91</v>
      </c>
      <c r="C7" s="16" t="s">
        <v>68</v>
      </c>
      <c r="D7" s="16" t="s">
        <v>89</v>
      </c>
      <c r="E7" s="17" t="s">
        <v>92</v>
      </c>
      <c r="F7" s="17" t="n">
        <v>0</v>
      </c>
      <c r="G7" s="19" t="n">
        <v>0.000207865596735743</v>
      </c>
      <c r="H7" s="19" t="n">
        <v>6.02689731519761E-005</v>
      </c>
      <c r="I7" s="19" t="n">
        <v>4.65236014168637E-005</v>
      </c>
      <c r="J7" s="18" t="n">
        <v>0.999999956791894</v>
      </c>
      <c r="K7" s="29" t="n">
        <v>0.0944098574113125</v>
      </c>
      <c r="L7" s="19" t="n">
        <v>0.000222116720185128</v>
      </c>
      <c r="M7" s="17" t="n">
        <v>300</v>
      </c>
      <c r="N7" s="17" t="n">
        <v>301</v>
      </c>
      <c r="O7" s="17" t="n">
        <v>3</v>
      </c>
      <c r="P7" s="17" t="n">
        <v>799</v>
      </c>
      <c r="Q7" s="17" t="n">
        <v>299</v>
      </c>
      <c r="R7" s="27" t="str">
        <f aca="false">IF(G7=_xlfn.MINIFS($G$2:$G$361,$A$2:$A$361,$A7),"BEST","")</f>
        <v/>
      </c>
    </row>
    <row r="8" customFormat="false" ht="15" hidden="false" customHeight="false" outlineLevel="0" collapsed="false">
      <c r="A8" s="16" t="s">
        <v>45</v>
      </c>
      <c r="B8" s="16" t="s">
        <v>91</v>
      </c>
      <c r="C8" s="16" t="s">
        <v>68</v>
      </c>
      <c r="D8" s="16" t="s">
        <v>89</v>
      </c>
      <c r="E8" s="17" t="s">
        <v>92</v>
      </c>
      <c r="F8" s="17" t="n">
        <v>4</v>
      </c>
      <c r="G8" s="19" t="n">
        <v>0.000212409478665899</v>
      </c>
      <c r="H8" s="19" t="n">
        <v>6.15864355043559E-005</v>
      </c>
      <c r="I8" s="19" t="n">
        <v>4.73707646797037E-005</v>
      </c>
      <c r="J8" s="18" t="n">
        <v>0.999999954882213</v>
      </c>
      <c r="K8" s="29" t="n">
        <v>0.103541700464297</v>
      </c>
      <c r="L8" s="19" t="n">
        <v>0.000231519609033004</v>
      </c>
      <c r="M8" s="17" t="n">
        <v>300</v>
      </c>
      <c r="N8" s="17" t="n">
        <v>301</v>
      </c>
      <c r="O8" s="17" t="n">
        <v>3</v>
      </c>
      <c r="P8" s="17" t="n">
        <v>799</v>
      </c>
      <c r="Q8" s="17" t="n">
        <v>299</v>
      </c>
      <c r="R8" s="27" t="str">
        <f aca="false">IF(G8=_xlfn.MINIFS($G$2:$G$361,$A$2:$A$361,$A8),"BEST","")</f>
        <v/>
      </c>
    </row>
    <row r="9" customFormat="false" ht="15" hidden="false" customHeight="false" outlineLevel="0" collapsed="false">
      <c r="A9" s="16" t="s">
        <v>45</v>
      </c>
      <c r="B9" s="16" t="s">
        <v>91</v>
      </c>
      <c r="C9" s="16" t="s">
        <v>68</v>
      </c>
      <c r="D9" s="16" t="s">
        <v>89</v>
      </c>
      <c r="E9" s="17" t="s">
        <v>92</v>
      </c>
      <c r="F9" s="17" t="n">
        <v>3</v>
      </c>
      <c r="G9" s="19" t="n">
        <v>0.000216206663099089</v>
      </c>
      <c r="H9" s="19" t="n">
        <v>6.26873988684279E-005</v>
      </c>
      <c r="I9" s="19" t="n">
        <v>4.7621600998315E-005</v>
      </c>
      <c r="J9" s="18" t="n">
        <v>0.999999953254679</v>
      </c>
      <c r="K9" s="29" t="n">
        <v>0.0925071014783997</v>
      </c>
      <c r="L9" s="19" t="n">
        <v>0.000267607028349604</v>
      </c>
      <c r="M9" s="17" t="n">
        <v>300</v>
      </c>
      <c r="N9" s="17" t="n">
        <v>301</v>
      </c>
      <c r="O9" s="17" t="n">
        <v>3</v>
      </c>
      <c r="P9" s="17" t="n">
        <v>799</v>
      </c>
      <c r="Q9" s="17" t="n">
        <v>299</v>
      </c>
      <c r="R9" s="27" t="str">
        <f aca="false">IF(G9=_xlfn.MINIFS($G$2:$G$361,$A$2:$A$361,$A9),"BEST","")</f>
        <v/>
      </c>
    </row>
    <row r="10" customFormat="false" ht="15" hidden="false" customHeight="false" outlineLevel="0" collapsed="false">
      <c r="A10" s="16" t="s">
        <v>45</v>
      </c>
      <c r="B10" s="16" t="s">
        <v>91</v>
      </c>
      <c r="C10" s="16" t="s">
        <v>68</v>
      </c>
      <c r="D10" s="16" t="s">
        <v>89</v>
      </c>
      <c r="E10" s="17" t="s">
        <v>92</v>
      </c>
      <c r="F10" s="17" t="n">
        <v>2</v>
      </c>
      <c r="G10" s="19" t="n">
        <v>0.000230323568139667</v>
      </c>
      <c r="H10" s="19" t="n">
        <v>6.67804829777777E-005</v>
      </c>
      <c r="I10" s="19" t="n">
        <v>5.02726966265346E-005</v>
      </c>
      <c r="J10" s="18" t="n">
        <v>0.999999946951054</v>
      </c>
      <c r="K10" s="29" t="n">
        <v>0.107631636057863</v>
      </c>
      <c r="L10" s="19" t="n">
        <v>0.00030701351687934</v>
      </c>
      <c r="M10" s="17" t="n">
        <v>300</v>
      </c>
      <c r="N10" s="17" t="n">
        <v>301</v>
      </c>
      <c r="O10" s="17" t="n">
        <v>3</v>
      </c>
      <c r="P10" s="17" t="n">
        <v>799</v>
      </c>
      <c r="Q10" s="17" t="n">
        <v>299</v>
      </c>
      <c r="R10" s="27" t="str">
        <f aca="false">IF(G10=_xlfn.MINIFS($G$2:$G$361,$A$2:$A$361,$A10),"BEST","")</f>
        <v/>
      </c>
    </row>
    <row r="11" customFormat="false" ht="15" hidden="false" customHeight="false" outlineLevel="0" collapsed="false">
      <c r="A11" s="16" t="s">
        <v>45</v>
      </c>
      <c r="B11" s="16" t="s">
        <v>91</v>
      </c>
      <c r="C11" s="16" t="s">
        <v>68</v>
      </c>
      <c r="D11" s="16" t="s">
        <v>89</v>
      </c>
      <c r="E11" s="17" t="s">
        <v>92</v>
      </c>
      <c r="F11" s="17" t="n">
        <v>1</v>
      </c>
      <c r="G11" s="19" t="n">
        <v>0.000244702773761884</v>
      </c>
      <c r="H11" s="19" t="n">
        <v>7.0949619050323E-005</v>
      </c>
      <c r="I11" s="19" t="n">
        <v>5.53055160663605E-005</v>
      </c>
      <c r="J11" s="18" t="n">
        <v>0.999999940120553</v>
      </c>
      <c r="K11" s="29" t="n">
        <v>0.120191836274153</v>
      </c>
      <c r="L11" s="19" t="n">
        <v>0.000260280142320157</v>
      </c>
      <c r="M11" s="17" t="n">
        <v>300</v>
      </c>
      <c r="N11" s="17" t="n">
        <v>301</v>
      </c>
      <c r="O11" s="17" t="n">
        <v>3</v>
      </c>
      <c r="P11" s="17" t="n">
        <v>799</v>
      </c>
      <c r="Q11" s="17" t="n">
        <v>299</v>
      </c>
      <c r="R11" s="27" t="str">
        <f aca="false">IF(G11=_xlfn.MINIFS($G$2:$G$361,$A$2:$A$361,$A11),"BEST","")</f>
        <v/>
      </c>
    </row>
    <row r="12" customFormat="false" ht="15" hidden="false" customHeight="false" outlineLevel="0" collapsed="false">
      <c r="A12" s="22" t="s">
        <v>45</v>
      </c>
      <c r="B12" s="22" t="s">
        <v>46</v>
      </c>
      <c r="C12" s="22" t="s">
        <v>72</v>
      </c>
      <c r="D12" s="22" t="s">
        <v>93</v>
      </c>
      <c r="E12" s="23" t="s">
        <v>94</v>
      </c>
      <c r="F12" s="23" t="n">
        <v>3</v>
      </c>
      <c r="G12" s="25" t="n">
        <v>0.00438621705134127</v>
      </c>
      <c r="H12" s="25" t="n">
        <v>0.00127174867730563</v>
      </c>
      <c r="I12" s="25" t="n">
        <v>0.00101148131669807</v>
      </c>
      <c r="J12" s="24" t="n">
        <v>0.999980761099979</v>
      </c>
      <c r="K12" s="30" t="n">
        <v>1.41436465991034</v>
      </c>
      <c r="L12" s="25" t="n">
        <v>0.00376583500847047</v>
      </c>
      <c r="M12" s="23" t="n">
        <v>96</v>
      </c>
      <c r="N12" s="23" t="n">
        <v>97</v>
      </c>
      <c r="O12" s="23" t="n">
        <v>5</v>
      </c>
      <c r="P12" s="23" t="n">
        <v>799</v>
      </c>
      <c r="Q12" s="23" t="n">
        <v>299</v>
      </c>
      <c r="R12" s="27" t="str">
        <f aca="false">IF(G12=_xlfn.MINIFS($G$2:$G$361,$A$2:$A$361,$A12),"BEST","")</f>
        <v/>
      </c>
    </row>
    <row r="13" customFormat="false" ht="15" hidden="false" customHeight="false" outlineLevel="0" collapsed="false">
      <c r="A13" s="22" t="s">
        <v>45</v>
      </c>
      <c r="B13" s="22" t="s">
        <v>46</v>
      </c>
      <c r="C13" s="22" t="s">
        <v>72</v>
      </c>
      <c r="D13" s="22" t="s">
        <v>93</v>
      </c>
      <c r="E13" s="23" t="s">
        <v>94</v>
      </c>
      <c r="F13" s="23" t="n">
        <v>4</v>
      </c>
      <c r="G13" s="25" t="n">
        <v>0.00438684381059377</v>
      </c>
      <c r="H13" s="25" t="n">
        <v>0.00127193040115582</v>
      </c>
      <c r="I13" s="25" t="n">
        <v>0.00102382381532253</v>
      </c>
      <c r="J13" s="24" t="n">
        <v>0.999980755601381</v>
      </c>
      <c r="K13" s="30" t="n">
        <v>1.39971853592306</v>
      </c>
      <c r="L13" s="25" t="n">
        <v>0.00371705368307804</v>
      </c>
      <c r="M13" s="23" t="n">
        <v>96</v>
      </c>
      <c r="N13" s="23" t="n">
        <v>97</v>
      </c>
      <c r="O13" s="23" t="n">
        <v>5</v>
      </c>
      <c r="P13" s="23" t="n">
        <v>799</v>
      </c>
      <c r="Q13" s="23" t="n">
        <v>299</v>
      </c>
      <c r="R13" s="27" t="str">
        <f aca="false">IF(G13=_xlfn.MINIFS($G$2:$G$361,$A$2:$A$361,$A13),"BEST","")</f>
        <v/>
      </c>
    </row>
    <row r="14" customFormat="false" ht="15" hidden="false" customHeight="false" outlineLevel="0" collapsed="false">
      <c r="A14" s="22" t="s">
        <v>45</v>
      </c>
      <c r="B14" s="22" t="s">
        <v>46</v>
      </c>
      <c r="C14" s="22" t="s">
        <v>72</v>
      </c>
      <c r="D14" s="22" t="s">
        <v>93</v>
      </c>
      <c r="E14" s="23" t="s">
        <v>94</v>
      </c>
      <c r="F14" s="23" t="n">
        <v>0</v>
      </c>
      <c r="G14" s="25" t="n">
        <v>0.00438940070079907</v>
      </c>
      <c r="H14" s="25" t="n">
        <v>0.00127267175109326</v>
      </c>
      <c r="I14" s="25" t="n">
        <v>0.00102458695368075</v>
      </c>
      <c r="J14" s="24" t="n">
        <v>0.999980733161488</v>
      </c>
      <c r="K14" s="30" t="n">
        <v>1.4224676932707</v>
      </c>
      <c r="L14" s="25" t="n">
        <v>0.00373396873528184</v>
      </c>
      <c r="M14" s="23" t="n">
        <v>96</v>
      </c>
      <c r="N14" s="23" t="n">
        <v>97</v>
      </c>
      <c r="O14" s="23" t="n">
        <v>5</v>
      </c>
      <c r="P14" s="23" t="n">
        <v>799</v>
      </c>
      <c r="Q14" s="23" t="n">
        <v>299</v>
      </c>
      <c r="R14" s="27" t="str">
        <f aca="false">IF(G14=_xlfn.MINIFS($G$2:$G$361,$A$2:$A$361,$A14),"BEST","")</f>
        <v/>
      </c>
    </row>
    <row r="15" customFormat="false" ht="15" hidden="false" customHeight="false" outlineLevel="0" collapsed="false">
      <c r="A15" s="22" t="s">
        <v>45</v>
      </c>
      <c r="B15" s="22" t="s">
        <v>46</v>
      </c>
      <c r="C15" s="22" t="s">
        <v>72</v>
      </c>
      <c r="D15" s="22" t="s">
        <v>93</v>
      </c>
      <c r="E15" s="23" t="s">
        <v>94</v>
      </c>
      <c r="F15" s="23" t="n">
        <v>2</v>
      </c>
      <c r="G15" s="25" t="n">
        <v>0.00442661454440819</v>
      </c>
      <c r="H15" s="25" t="n">
        <v>0.00128346160846543</v>
      </c>
      <c r="I15" s="25" t="n">
        <v>0.00101839887303351</v>
      </c>
      <c r="J15" s="24" t="n">
        <v>0.999980405083675</v>
      </c>
      <c r="K15" s="30" t="n">
        <v>1.42806583546124</v>
      </c>
      <c r="L15" s="25" t="n">
        <v>0.00386419424675807</v>
      </c>
      <c r="M15" s="23" t="n">
        <v>96</v>
      </c>
      <c r="N15" s="23" t="n">
        <v>97</v>
      </c>
      <c r="O15" s="23" t="n">
        <v>5</v>
      </c>
      <c r="P15" s="23" t="n">
        <v>799</v>
      </c>
      <c r="Q15" s="23" t="n">
        <v>299</v>
      </c>
      <c r="R15" s="27" t="str">
        <f aca="false">IF(G15=_xlfn.MINIFS($G$2:$G$361,$A$2:$A$361,$A15),"BEST","")</f>
        <v/>
      </c>
    </row>
    <row r="16" customFormat="false" ht="15" hidden="false" customHeight="false" outlineLevel="0" collapsed="false">
      <c r="A16" s="22" t="s">
        <v>45</v>
      </c>
      <c r="B16" s="22" t="s">
        <v>46</v>
      </c>
      <c r="C16" s="22" t="s">
        <v>72</v>
      </c>
      <c r="D16" s="22" t="s">
        <v>93</v>
      </c>
      <c r="E16" s="23" t="s">
        <v>94</v>
      </c>
      <c r="F16" s="23" t="n">
        <v>1</v>
      </c>
      <c r="G16" s="25" t="n">
        <v>0.0045670316182036</v>
      </c>
      <c r="H16" s="25" t="n">
        <v>0.00132417441993376</v>
      </c>
      <c r="I16" s="25" t="n">
        <v>0.00108142772347786</v>
      </c>
      <c r="J16" s="24" t="n">
        <v>0.999979142222198</v>
      </c>
      <c r="K16" s="30" t="n">
        <v>1.53161306139206</v>
      </c>
      <c r="L16" s="25" t="n">
        <v>0.00389249702726727</v>
      </c>
      <c r="M16" s="23" t="n">
        <v>96</v>
      </c>
      <c r="N16" s="23" t="n">
        <v>97</v>
      </c>
      <c r="O16" s="23" t="n">
        <v>5</v>
      </c>
      <c r="P16" s="23" t="n">
        <v>799</v>
      </c>
      <c r="Q16" s="23" t="n">
        <v>299</v>
      </c>
      <c r="R16" s="27" t="str">
        <f aca="false">IF(G16=_xlfn.MINIFS($G$2:$G$361,$A$2:$A$361,$A16),"BEST","")</f>
        <v/>
      </c>
    </row>
    <row r="17" customFormat="false" ht="15" hidden="false" customHeight="false" outlineLevel="0" collapsed="false">
      <c r="A17" s="16" t="s">
        <v>45</v>
      </c>
      <c r="B17" s="16" t="s">
        <v>95</v>
      </c>
      <c r="C17" s="16" t="s">
        <v>68</v>
      </c>
      <c r="D17" s="16" t="s">
        <v>89</v>
      </c>
      <c r="E17" s="17" t="s">
        <v>96</v>
      </c>
      <c r="F17" s="17" t="n">
        <v>2</v>
      </c>
      <c r="G17" s="19" t="n">
        <v>0.00866401609533006</v>
      </c>
      <c r="H17" s="19" t="n">
        <v>0.00251206241743585</v>
      </c>
      <c r="I17" s="19" t="n">
        <v>0.00201851128320726</v>
      </c>
      <c r="J17" s="18" t="n">
        <v>0.9999249348251</v>
      </c>
      <c r="K17" s="29" t="n">
        <v>1.36239333024354</v>
      </c>
      <c r="L17" s="19" t="n">
        <v>0.00723289362145058</v>
      </c>
      <c r="M17" s="17" t="n">
        <v>300</v>
      </c>
      <c r="N17" s="17" t="n">
        <v>301</v>
      </c>
      <c r="O17" s="17" t="n">
        <v>3</v>
      </c>
      <c r="P17" s="17" t="n">
        <v>799</v>
      </c>
      <c r="Q17" s="17" t="n">
        <v>299</v>
      </c>
      <c r="R17" s="27" t="str">
        <f aca="false">IF(G17=_xlfn.MINIFS($G$2:$G$361,$A$2:$A$361,$A17),"BEST","")</f>
        <v/>
      </c>
    </row>
    <row r="18" customFormat="false" ht="15" hidden="false" customHeight="false" outlineLevel="0" collapsed="false">
      <c r="A18" s="16" t="s">
        <v>45</v>
      </c>
      <c r="B18" s="16" t="s">
        <v>95</v>
      </c>
      <c r="C18" s="16" t="s">
        <v>68</v>
      </c>
      <c r="D18" s="16" t="s">
        <v>89</v>
      </c>
      <c r="E18" s="17" t="s">
        <v>96</v>
      </c>
      <c r="F18" s="17" t="n">
        <v>1</v>
      </c>
      <c r="G18" s="19" t="n">
        <v>0.00876289819209652</v>
      </c>
      <c r="H18" s="19" t="n">
        <v>0.00254073249333496</v>
      </c>
      <c r="I18" s="19" t="n">
        <v>0.00205395308671966</v>
      </c>
      <c r="J18" s="18" t="n">
        <v>0.999923211615275</v>
      </c>
      <c r="K18" s="29" t="n">
        <v>1.45094574050417</v>
      </c>
      <c r="L18" s="19" t="n">
        <v>0.00764332861441472</v>
      </c>
      <c r="M18" s="17" t="n">
        <v>300</v>
      </c>
      <c r="N18" s="17" t="n">
        <v>301</v>
      </c>
      <c r="O18" s="17" t="n">
        <v>3</v>
      </c>
      <c r="P18" s="17" t="n">
        <v>799</v>
      </c>
      <c r="Q18" s="17" t="n">
        <v>299</v>
      </c>
      <c r="R18" s="27" t="str">
        <f aca="false">IF(G18=_xlfn.MINIFS($G$2:$G$361,$A$2:$A$361,$A18),"BEST","")</f>
        <v/>
      </c>
    </row>
    <row r="19" customFormat="false" ht="15" hidden="false" customHeight="false" outlineLevel="0" collapsed="false">
      <c r="A19" s="16" t="s">
        <v>45</v>
      </c>
      <c r="B19" s="16" t="s">
        <v>95</v>
      </c>
      <c r="C19" s="16" t="s">
        <v>68</v>
      </c>
      <c r="D19" s="16" t="s">
        <v>89</v>
      </c>
      <c r="E19" s="17" t="s">
        <v>96</v>
      </c>
      <c r="F19" s="17" t="n">
        <v>0</v>
      </c>
      <c r="G19" s="19" t="n">
        <v>0.00914285742558441</v>
      </c>
      <c r="H19" s="19" t="n">
        <v>0.00265089864493262</v>
      </c>
      <c r="I19" s="19" t="n">
        <v>0.00209469264611678</v>
      </c>
      <c r="J19" s="18" t="n">
        <v>0.999916408158096</v>
      </c>
      <c r="K19" s="29" t="n">
        <v>2.04501351944252</v>
      </c>
      <c r="L19" s="19" t="n">
        <v>0.0101799778216734</v>
      </c>
      <c r="M19" s="17" t="n">
        <v>300</v>
      </c>
      <c r="N19" s="17" t="n">
        <v>301</v>
      </c>
      <c r="O19" s="17" t="n">
        <v>3</v>
      </c>
      <c r="P19" s="17" t="n">
        <v>799</v>
      </c>
      <c r="Q19" s="17" t="n">
        <v>299</v>
      </c>
      <c r="R19" s="27" t="str">
        <f aca="false">IF(G19=_xlfn.MINIFS($G$2:$G$361,$A$2:$A$361,$A19),"BEST","")</f>
        <v/>
      </c>
    </row>
    <row r="20" customFormat="false" ht="15" hidden="false" customHeight="false" outlineLevel="0" collapsed="false">
      <c r="A20" s="16" t="s">
        <v>45</v>
      </c>
      <c r="B20" s="16" t="s">
        <v>95</v>
      </c>
      <c r="C20" s="16" t="s">
        <v>68</v>
      </c>
      <c r="D20" s="16" t="s">
        <v>89</v>
      </c>
      <c r="E20" s="17" t="s">
        <v>96</v>
      </c>
      <c r="F20" s="17" t="n">
        <v>3</v>
      </c>
      <c r="G20" s="19" t="n">
        <v>0.00947816957138218</v>
      </c>
      <c r="H20" s="19" t="n">
        <v>0.00274811972927737</v>
      </c>
      <c r="I20" s="19" t="n">
        <v>0.00221970579881198</v>
      </c>
      <c r="J20" s="18" t="n">
        <v>0.999910164301576</v>
      </c>
      <c r="K20" s="29" t="n">
        <v>2.21178285319171</v>
      </c>
      <c r="L20" s="19" t="n">
        <v>0.00990597594968631</v>
      </c>
      <c r="M20" s="17" t="n">
        <v>300</v>
      </c>
      <c r="N20" s="17" t="n">
        <v>301</v>
      </c>
      <c r="O20" s="17" t="n">
        <v>3</v>
      </c>
      <c r="P20" s="17" t="n">
        <v>799</v>
      </c>
      <c r="Q20" s="17" t="n">
        <v>299</v>
      </c>
      <c r="R20" s="27" t="str">
        <f aca="false">IF(G20=_xlfn.MINIFS($G$2:$G$361,$A$2:$A$361,$A20),"BEST","")</f>
        <v/>
      </c>
    </row>
    <row r="21" customFormat="false" ht="15" hidden="false" customHeight="false" outlineLevel="0" collapsed="false">
      <c r="A21" s="16" t="s">
        <v>45</v>
      </c>
      <c r="B21" s="16" t="s">
        <v>95</v>
      </c>
      <c r="C21" s="16" t="s">
        <v>68</v>
      </c>
      <c r="D21" s="16" t="s">
        <v>89</v>
      </c>
      <c r="E21" s="17" t="s">
        <v>96</v>
      </c>
      <c r="F21" s="17" t="n">
        <v>4</v>
      </c>
      <c r="G21" s="19" t="n">
        <v>0.00950036108751052</v>
      </c>
      <c r="H21" s="19" t="n">
        <v>0.00275455398251958</v>
      </c>
      <c r="I21" s="19" t="n">
        <v>0.00219231828716503</v>
      </c>
      <c r="J21" s="18" t="n">
        <v>0.999909743139207</v>
      </c>
      <c r="K21" s="29" t="n">
        <v>2.03782363958463</v>
      </c>
      <c r="L21" s="19" t="n">
        <v>0.00863597075207875</v>
      </c>
      <c r="M21" s="17" t="n">
        <v>300</v>
      </c>
      <c r="N21" s="17" t="n">
        <v>301</v>
      </c>
      <c r="O21" s="17" t="n">
        <v>3</v>
      </c>
      <c r="P21" s="17" t="n">
        <v>799</v>
      </c>
      <c r="Q21" s="17" t="n">
        <v>299</v>
      </c>
      <c r="R21" s="27" t="str">
        <f aca="false">IF(G21=_xlfn.MINIFS($G$2:$G$361,$A$2:$A$361,$A21),"BEST","")</f>
        <v/>
      </c>
    </row>
    <row r="22" customFormat="false" ht="15" hidden="false" customHeight="false" outlineLevel="0" collapsed="false">
      <c r="A22" s="16" t="s">
        <v>45</v>
      </c>
      <c r="B22" s="16" t="s">
        <v>97</v>
      </c>
      <c r="C22" s="16" t="s">
        <v>68</v>
      </c>
      <c r="D22" s="16" t="s">
        <v>98</v>
      </c>
      <c r="E22" s="17" t="s">
        <v>99</v>
      </c>
      <c r="F22" s="17" t="n">
        <v>4</v>
      </c>
      <c r="G22" s="19" t="n">
        <v>0.0192920864504216</v>
      </c>
      <c r="H22" s="19" t="n">
        <v>0.00559358671461255</v>
      </c>
      <c r="I22" s="19" t="n">
        <v>0.00357888804658142</v>
      </c>
      <c r="J22" s="18" t="n">
        <v>0.99962781540039</v>
      </c>
      <c r="K22" s="29" t="n">
        <v>2.02184087855709</v>
      </c>
      <c r="L22" s="19" t="n">
        <v>0.0315356621258249</v>
      </c>
      <c r="M22" s="17" t="n">
        <v>4</v>
      </c>
      <c r="N22" s="17"/>
      <c r="O22" s="17" t="n">
        <v>4</v>
      </c>
      <c r="P22" s="17" t="n">
        <v>799</v>
      </c>
      <c r="Q22" s="17" t="n">
        <v>299</v>
      </c>
      <c r="R22" s="27" t="str">
        <f aca="false">IF(G22=_xlfn.MINIFS($G$2:$G$361,$A$2:$A$361,$A22),"BEST","")</f>
        <v/>
      </c>
    </row>
    <row r="23" customFormat="false" ht="15" hidden="false" customHeight="false" outlineLevel="0" collapsed="false">
      <c r="A23" s="16" t="s">
        <v>45</v>
      </c>
      <c r="B23" s="16" t="s">
        <v>97</v>
      </c>
      <c r="C23" s="16" t="s">
        <v>68</v>
      </c>
      <c r="D23" s="16" t="s">
        <v>98</v>
      </c>
      <c r="E23" s="17" t="s">
        <v>99</v>
      </c>
      <c r="F23" s="17" t="n">
        <v>1</v>
      </c>
      <c r="G23" s="19" t="n">
        <v>0.0194787571792778</v>
      </c>
      <c r="H23" s="19" t="n">
        <v>0.00564771040473907</v>
      </c>
      <c r="I23" s="19" t="n">
        <v>0.0036188727729284</v>
      </c>
      <c r="J23" s="18" t="n">
        <v>0.999620578018751</v>
      </c>
      <c r="K23" s="29" t="n">
        <v>2.01481552231846</v>
      </c>
      <c r="L23" s="19" t="n">
        <v>0.0312434602423092</v>
      </c>
      <c r="M23" s="17" t="n">
        <v>4</v>
      </c>
      <c r="N23" s="17"/>
      <c r="O23" s="17" t="n">
        <v>4</v>
      </c>
      <c r="P23" s="17" t="n">
        <v>799</v>
      </c>
      <c r="Q23" s="17" t="n">
        <v>299</v>
      </c>
      <c r="R23" s="27" t="str">
        <f aca="false">IF(G23=_xlfn.MINIFS($G$2:$G$361,$A$2:$A$361,$A23),"BEST","")</f>
        <v/>
      </c>
    </row>
    <row r="24" customFormat="false" ht="15" hidden="false" customHeight="false" outlineLevel="0" collapsed="false">
      <c r="A24" s="16" t="s">
        <v>45</v>
      </c>
      <c r="B24" s="16" t="s">
        <v>97</v>
      </c>
      <c r="C24" s="16" t="s">
        <v>68</v>
      </c>
      <c r="D24" s="16" t="s">
        <v>98</v>
      </c>
      <c r="E24" s="17" t="s">
        <v>99</v>
      </c>
      <c r="F24" s="17" t="n">
        <v>3</v>
      </c>
      <c r="G24" s="19" t="n">
        <v>0.0198094357936106</v>
      </c>
      <c r="H24" s="19" t="n">
        <v>0.00574358803356332</v>
      </c>
      <c r="I24" s="19" t="n">
        <v>0.00377175766258102</v>
      </c>
      <c r="J24" s="18" t="n">
        <v>0.999607586253539</v>
      </c>
      <c r="K24" s="29" t="n">
        <v>2.12663481901777</v>
      </c>
      <c r="L24" s="19" t="n">
        <v>0.03067654820353</v>
      </c>
      <c r="M24" s="17" t="n">
        <v>4</v>
      </c>
      <c r="N24" s="17"/>
      <c r="O24" s="17" t="n">
        <v>4</v>
      </c>
      <c r="P24" s="17" t="n">
        <v>799</v>
      </c>
      <c r="Q24" s="17" t="n">
        <v>299</v>
      </c>
      <c r="R24" s="27" t="str">
        <f aca="false">IF(G24=_xlfn.MINIFS($G$2:$G$361,$A$2:$A$361,$A24),"BEST","")</f>
        <v/>
      </c>
    </row>
    <row r="25" customFormat="false" ht="15" hidden="false" customHeight="false" outlineLevel="0" collapsed="false">
      <c r="A25" s="16" t="s">
        <v>45</v>
      </c>
      <c r="B25" s="16" t="s">
        <v>97</v>
      </c>
      <c r="C25" s="16" t="s">
        <v>68</v>
      </c>
      <c r="D25" s="16" t="s">
        <v>98</v>
      </c>
      <c r="E25" s="17" t="s">
        <v>99</v>
      </c>
      <c r="F25" s="17" t="n">
        <v>0</v>
      </c>
      <c r="G25" s="19" t="n">
        <v>0.0199614134356693</v>
      </c>
      <c r="H25" s="19" t="n">
        <v>0.00578765273966559</v>
      </c>
      <c r="I25" s="19" t="n">
        <v>0.00370003247419006</v>
      </c>
      <c r="J25" s="18" t="n">
        <v>0.99960154197365</v>
      </c>
      <c r="K25" s="29" t="n">
        <v>2.00181671313342</v>
      </c>
      <c r="L25" s="19" t="n">
        <v>0.0317844369032738</v>
      </c>
      <c r="M25" s="17" t="n">
        <v>4</v>
      </c>
      <c r="N25" s="17"/>
      <c r="O25" s="17" t="n">
        <v>4</v>
      </c>
      <c r="P25" s="17" t="n">
        <v>799</v>
      </c>
      <c r="Q25" s="17" t="n">
        <v>299</v>
      </c>
      <c r="R25" s="27" t="str">
        <f aca="false">IF(G25=_xlfn.MINIFS($G$2:$G$361,$A$2:$A$361,$A25),"BEST","")</f>
        <v/>
      </c>
    </row>
    <row r="26" customFormat="false" ht="15" hidden="false" customHeight="false" outlineLevel="0" collapsed="false">
      <c r="A26" s="16" t="s">
        <v>45</v>
      </c>
      <c r="B26" s="16" t="s">
        <v>97</v>
      </c>
      <c r="C26" s="16" t="s">
        <v>68</v>
      </c>
      <c r="D26" s="16" t="s">
        <v>98</v>
      </c>
      <c r="E26" s="17" t="s">
        <v>99</v>
      </c>
      <c r="F26" s="17" t="n">
        <v>2</v>
      </c>
      <c r="G26" s="19" t="n">
        <v>0.0199930174028895</v>
      </c>
      <c r="H26" s="19" t="n">
        <v>0.00579681605808771</v>
      </c>
      <c r="I26" s="19" t="n">
        <v>0.00374079032574223</v>
      </c>
      <c r="J26" s="18" t="n">
        <v>0.999600279255128</v>
      </c>
      <c r="K26" s="29" t="n">
        <v>2.04449236164559</v>
      </c>
      <c r="L26" s="19" t="n">
        <v>0.0310378198090299</v>
      </c>
      <c r="M26" s="17" t="n">
        <v>4</v>
      </c>
      <c r="N26" s="17"/>
      <c r="O26" s="17" t="n">
        <v>4</v>
      </c>
      <c r="P26" s="17" t="n">
        <v>799</v>
      </c>
      <c r="Q26" s="17" t="n">
        <v>299</v>
      </c>
      <c r="R26" s="27" t="str">
        <f aca="false">IF(G26=_xlfn.MINIFS($G$2:$G$361,$A$2:$A$361,$A26),"BEST","")</f>
        <v/>
      </c>
    </row>
    <row r="27" customFormat="false" ht="15" hidden="false" customHeight="false" outlineLevel="0" collapsed="false">
      <c r="A27" s="16" t="s">
        <v>45</v>
      </c>
      <c r="B27" s="16" t="s">
        <v>100</v>
      </c>
      <c r="C27" s="16" t="s">
        <v>68</v>
      </c>
      <c r="D27" s="16" t="s">
        <v>98</v>
      </c>
      <c r="E27" s="17" t="s">
        <v>99</v>
      </c>
      <c r="F27" s="17" t="n">
        <v>1</v>
      </c>
      <c r="G27" s="19" t="n">
        <v>0.0266042345712732</v>
      </c>
      <c r="H27" s="19" t="n">
        <v>0.00771368578679872</v>
      </c>
      <c r="I27" s="19" t="n">
        <v>0.00474958714023379</v>
      </c>
      <c r="J27" s="18" t="n">
        <v>0.999292214702877</v>
      </c>
      <c r="K27" s="29" t="n">
        <v>2.15393519738576</v>
      </c>
      <c r="L27" s="19" t="n">
        <v>0.062974420791923</v>
      </c>
      <c r="M27" s="17" t="n">
        <v>4</v>
      </c>
      <c r="N27" s="17"/>
      <c r="O27" s="17" t="n">
        <v>4</v>
      </c>
      <c r="P27" s="17" t="n">
        <v>799</v>
      </c>
      <c r="Q27" s="17" t="n">
        <v>299</v>
      </c>
      <c r="R27" s="27" t="str">
        <f aca="false">IF(G27=_xlfn.MINIFS($G$2:$G$361,$A$2:$A$361,$A27),"BEST","")</f>
        <v/>
      </c>
    </row>
    <row r="28" customFormat="false" ht="15" hidden="false" customHeight="false" outlineLevel="0" collapsed="false">
      <c r="A28" s="16" t="s">
        <v>45</v>
      </c>
      <c r="B28" s="16" t="s">
        <v>100</v>
      </c>
      <c r="C28" s="16" t="s">
        <v>68</v>
      </c>
      <c r="D28" s="16" t="s">
        <v>98</v>
      </c>
      <c r="E28" s="17" t="s">
        <v>99</v>
      </c>
      <c r="F28" s="17" t="n">
        <v>3</v>
      </c>
      <c r="G28" s="19" t="n">
        <v>0.0274732851888792</v>
      </c>
      <c r="H28" s="19" t="n">
        <v>0.00796566008732134</v>
      </c>
      <c r="I28" s="19" t="n">
        <v>0.00483846779793917</v>
      </c>
      <c r="J28" s="18" t="n">
        <v>0.999245218600931</v>
      </c>
      <c r="K28" s="29" t="n">
        <v>2.33396877063347</v>
      </c>
      <c r="L28" s="19" t="n">
        <v>0.0684896981776346</v>
      </c>
      <c r="M28" s="17" t="n">
        <v>4</v>
      </c>
      <c r="N28" s="17"/>
      <c r="O28" s="17" t="n">
        <v>4</v>
      </c>
      <c r="P28" s="17" t="n">
        <v>799</v>
      </c>
      <c r="Q28" s="17" t="n">
        <v>299</v>
      </c>
      <c r="R28" s="27" t="str">
        <f aca="false">IF(G28=_xlfn.MINIFS($G$2:$G$361,$A$2:$A$361,$A28),"BEST","")</f>
        <v/>
      </c>
    </row>
    <row r="29" customFormat="false" ht="15" hidden="false" customHeight="false" outlineLevel="0" collapsed="false">
      <c r="A29" s="16" t="s">
        <v>45</v>
      </c>
      <c r="B29" s="16" t="s">
        <v>100</v>
      </c>
      <c r="C29" s="16" t="s">
        <v>68</v>
      </c>
      <c r="D29" s="16" t="s">
        <v>98</v>
      </c>
      <c r="E29" s="17" t="s">
        <v>99</v>
      </c>
      <c r="F29" s="17" t="n">
        <v>4</v>
      </c>
      <c r="G29" s="19" t="n">
        <v>0.0279614887914852</v>
      </c>
      <c r="H29" s="19" t="n">
        <v>0.00810721083107218</v>
      </c>
      <c r="I29" s="19" t="n">
        <v>0.00517795721932281</v>
      </c>
      <c r="J29" s="18" t="n">
        <v>0.999218155144564</v>
      </c>
      <c r="K29" s="29" t="n">
        <v>2.41469761032135</v>
      </c>
      <c r="L29" s="19" t="n">
        <v>0.0616476810038675</v>
      </c>
      <c r="M29" s="17" t="n">
        <v>4</v>
      </c>
      <c r="N29" s="17"/>
      <c r="O29" s="17" t="n">
        <v>4</v>
      </c>
      <c r="P29" s="17" t="n">
        <v>799</v>
      </c>
      <c r="Q29" s="17" t="n">
        <v>299</v>
      </c>
      <c r="R29" s="27" t="str">
        <f aca="false">IF(G29=_xlfn.MINIFS($G$2:$G$361,$A$2:$A$361,$A29),"BEST","")</f>
        <v/>
      </c>
    </row>
    <row r="30" customFormat="false" ht="15" hidden="false" customHeight="false" outlineLevel="0" collapsed="false">
      <c r="A30" s="16" t="s">
        <v>45</v>
      </c>
      <c r="B30" s="16" t="s">
        <v>100</v>
      </c>
      <c r="C30" s="16" t="s">
        <v>68</v>
      </c>
      <c r="D30" s="16" t="s">
        <v>98</v>
      </c>
      <c r="E30" s="17" t="s">
        <v>99</v>
      </c>
      <c r="F30" s="17" t="n">
        <v>2</v>
      </c>
      <c r="G30" s="19" t="n">
        <v>0.0281206843300744</v>
      </c>
      <c r="H30" s="19" t="n">
        <v>0.00815336830874918</v>
      </c>
      <c r="I30" s="19" t="n">
        <v>0.00498440723547718</v>
      </c>
      <c r="J30" s="18" t="n">
        <v>0.999209227112808</v>
      </c>
      <c r="K30" s="29" t="n">
        <v>2.31915338326401</v>
      </c>
      <c r="L30" s="19" t="n">
        <v>0.0710692083895792</v>
      </c>
      <c r="M30" s="17" t="n">
        <v>4</v>
      </c>
      <c r="N30" s="17"/>
      <c r="O30" s="17" t="n">
        <v>4</v>
      </c>
      <c r="P30" s="17" t="n">
        <v>799</v>
      </c>
      <c r="Q30" s="17" t="n">
        <v>299</v>
      </c>
      <c r="R30" s="27" t="str">
        <f aca="false">IF(G30=_xlfn.MINIFS($G$2:$G$361,$A$2:$A$361,$A30),"BEST","")</f>
        <v/>
      </c>
    </row>
    <row r="31" customFormat="false" ht="15" hidden="false" customHeight="false" outlineLevel="0" collapsed="false">
      <c r="A31" s="16" t="s">
        <v>45</v>
      </c>
      <c r="B31" s="16" t="s">
        <v>101</v>
      </c>
      <c r="C31" s="16" t="s">
        <v>68</v>
      </c>
      <c r="D31" s="16" t="s">
        <v>98</v>
      </c>
      <c r="E31" s="17" t="s">
        <v>99</v>
      </c>
      <c r="F31" s="17" t="n">
        <v>0</v>
      </c>
      <c r="G31" s="19" t="n">
        <v>0.0285308203712025</v>
      </c>
      <c r="H31" s="19" t="n">
        <v>0.00827228398522275</v>
      </c>
      <c r="I31" s="19" t="n">
        <v>0.00486662309991923</v>
      </c>
      <c r="J31" s="18" t="n">
        <v>0.999185992288946</v>
      </c>
      <c r="K31" s="29" t="n">
        <v>2.51448268573927</v>
      </c>
      <c r="L31" s="19" t="n">
        <v>0.0547005006733632</v>
      </c>
      <c r="M31" s="17" t="n">
        <v>4</v>
      </c>
      <c r="N31" s="17"/>
      <c r="O31" s="17" t="n">
        <v>4</v>
      </c>
      <c r="P31" s="17" t="n">
        <v>799</v>
      </c>
      <c r="Q31" s="17" t="n">
        <v>299</v>
      </c>
      <c r="R31" s="27" t="str">
        <f aca="false">IF(G31=_xlfn.MINIFS($G$2:$G$361,$A$2:$A$361,$A31),"BEST","")</f>
        <v/>
      </c>
    </row>
    <row r="32" customFormat="false" ht="15" hidden="false" customHeight="false" outlineLevel="0" collapsed="false">
      <c r="A32" s="16" t="s">
        <v>45</v>
      </c>
      <c r="B32" s="16" t="s">
        <v>101</v>
      </c>
      <c r="C32" s="16" t="s">
        <v>68</v>
      </c>
      <c r="D32" s="16" t="s">
        <v>98</v>
      </c>
      <c r="E32" s="17" t="s">
        <v>99</v>
      </c>
      <c r="F32" s="17" t="n">
        <v>1</v>
      </c>
      <c r="G32" s="19" t="n">
        <v>0.0285308203712025</v>
      </c>
      <c r="H32" s="19" t="n">
        <v>0.00827228398522275</v>
      </c>
      <c r="I32" s="19" t="n">
        <v>0.00486662309991923</v>
      </c>
      <c r="J32" s="18" t="n">
        <v>0.999185992288946</v>
      </c>
      <c r="K32" s="29" t="n">
        <v>2.51448268573927</v>
      </c>
      <c r="L32" s="19" t="n">
        <v>0.0547005006733632</v>
      </c>
      <c r="M32" s="17" t="n">
        <v>4</v>
      </c>
      <c r="N32" s="17"/>
      <c r="O32" s="17" t="n">
        <v>4</v>
      </c>
      <c r="P32" s="17" t="n">
        <v>799</v>
      </c>
      <c r="Q32" s="17" t="n">
        <v>299</v>
      </c>
      <c r="R32" s="27" t="str">
        <f aca="false">IF(G32=_xlfn.MINIFS($G$2:$G$361,$A$2:$A$361,$A32),"BEST","")</f>
        <v/>
      </c>
    </row>
    <row r="33" customFormat="false" ht="15" hidden="false" customHeight="false" outlineLevel="0" collapsed="false">
      <c r="A33" s="16" t="s">
        <v>45</v>
      </c>
      <c r="B33" s="16" t="s">
        <v>101</v>
      </c>
      <c r="C33" s="16" t="s">
        <v>68</v>
      </c>
      <c r="D33" s="16" t="s">
        <v>98</v>
      </c>
      <c r="E33" s="17" t="s">
        <v>99</v>
      </c>
      <c r="F33" s="17" t="n">
        <v>2</v>
      </c>
      <c r="G33" s="19" t="n">
        <v>0.0285308203712025</v>
      </c>
      <c r="H33" s="19" t="n">
        <v>0.00827228398522275</v>
      </c>
      <c r="I33" s="19" t="n">
        <v>0.00486662309991923</v>
      </c>
      <c r="J33" s="18" t="n">
        <v>0.999185992288946</v>
      </c>
      <c r="K33" s="29" t="n">
        <v>2.51448268573927</v>
      </c>
      <c r="L33" s="19" t="n">
        <v>0.0547005006733632</v>
      </c>
      <c r="M33" s="17" t="n">
        <v>4</v>
      </c>
      <c r="N33" s="17"/>
      <c r="O33" s="17" t="n">
        <v>4</v>
      </c>
      <c r="P33" s="17" t="n">
        <v>799</v>
      </c>
      <c r="Q33" s="17" t="n">
        <v>299</v>
      </c>
      <c r="R33" s="27" t="str">
        <f aca="false">IF(G33=_xlfn.MINIFS($G$2:$G$361,$A$2:$A$361,$A33),"BEST","")</f>
        <v/>
      </c>
    </row>
    <row r="34" customFormat="false" ht="15" hidden="false" customHeight="false" outlineLevel="0" collapsed="false">
      <c r="A34" s="16" t="s">
        <v>45</v>
      </c>
      <c r="B34" s="16" t="s">
        <v>101</v>
      </c>
      <c r="C34" s="16" t="s">
        <v>68</v>
      </c>
      <c r="D34" s="16" t="s">
        <v>98</v>
      </c>
      <c r="E34" s="17" t="s">
        <v>99</v>
      </c>
      <c r="F34" s="17" t="n">
        <v>3</v>
      </c>
      <c r="G34" s="19" t="n">
        <v>0.0285308203712025</v>
      </c>
      <c r="H34" s="19" t="n">
        <v>0.00827228398522275</v>
      </c>
      <c r="I34" s="19" t="n">
        <v>0.00486662309991923</v>
      </c>
      <c r="J34" s="18" t="n">
        <v>0.999185992288946</v>
      </c>
      <c r="K34" s="29" t="n">
        <v>2.51448268573927</v>
      </c>
      <c r="L34" s="19" t="n">
        <v>0.0547005006733632</v>
      </c>
      <c r="M34" s="17" t="n">
        <v>4</v>
      </c>
      <c r="N34" s="17"/>
      <c r="O34" s="17" t="n">
        <v>4</v>
      </c>
      <c r="P34" s="17" t="n">
        <v>799</v>
      </c>
      <c r="Q34" s="17" t="n">
        <v>299</v>
      </c>
      <c r="R34" s="27" t="str">
        <f aca="false">IF(G34=_xlfn.MINIFS($G$2:$G$361,$A$2:$A$361,$A34),"BEST","")</f>
        <v/>
      </c>
    </row>
    <row r="35" customFormat="false" ht="15" hidden="false" customHeight="false" outlineLevel="0" collapsed="false">
      <c r="A35" s="16" t="s">
        <v>45</v>
      </c>
      <c r="B35" s="16" t="s">
        <v>101</v>
      </c>
      <c r="C35" s="16" t="s">
        <v>68</v>
      </c>
      <c r="D35" s="16" t="s">
        <v>98</v>
      </c>
      <c r="E35" s="17" t="s">
        <v>99</v>
      </c>
      <c r="F35" s="17" t="n">
        <v>4</v>
      </c>
      <c r="G35" s="19" t="n">
        <v>0.0285308203712025</v>
      </c>
      <c r="H35" s="19" t="n">
        <v>0.00827228398522275</v>
      </c>
      <c r="I35" s="19" t="n">
        <v>0.00486662309991923</v>
      </c>
      <c r="J35" s="18" t="n">
        <v>0.999185992288946</v>
      </c>
      <c r="K35" s="29" t="n">
        <v>2.51448268573927</v>
      </c>
      <c r="L35" s="19" t="n">
        <v>0.0547005006733632</v>
      </c>
      <c r="M35" s="17" t="n">
        <v>4</v>
      </c>
      <c r="N35" s="17"/>
      <c r="O35" s="17" t="n">
        <v>4</v>
      </c>
      <c r="P35" s="17" t="n">
        <v>799</v>
      </c>
      <c r="Q35" s="17" t="n">
        <v>299</v>
      </c>
      <c r="R35" s="27" t="str">
        <f aca="false">IF(G35=_xlfn.MINIFS($G$2:$G$361,$A$2:$A$361,$A35),"BEST","")</f>
        <v/>
      </c>
    </row>
    <row r="36" customFormat="false" ht="15" hidden="false" customHeight="false" outlineLevel="0" collapsed="false">
      <c r="A36" s="16" t="s">
        <v>45</v>
      </c>
      <c r="B36" s="16" t="s">
        <v>100</v>
      </c>
      <c r="C36" s="16" t="s">
        <v>68</v>
      </c>
      <c r="D36" s="16" t="s">
        <v>98</v>
      </c>
      <c r="E36" s="17" t="s">
        <v>99</v>
      </c>
      <c r="F36" s="17" t="n">
        <v>0</v>
      </c>
      <c r="G36" s="19" t="n">
        <v>0.0291385967709705</v>
      </c>
      <c r="H36" s="19" t="n">
        <v>0.00844850390855421</v>
      </c>
      <c r="I36" s="19" t="n">
        <v>0.0051708499087752</v>
      </c>
      <c r="J36" s="18" t="n">
        <v>0.999150942178219</v>
      </c>
      <c r="K36" s="29" t="n">
        <v>2.60323367136959</v>
      </c>
      <c r="L36" s="19" t="n">
        <v>0.0613298094332804</v>
      </c>
      <c r="M36" s="17" t="n">
        <v>4</v>
      </c>
      <c r="N36" s="17"/>
      <c r="O36" s="17" t="n">
        <v>4</v>
      </c>
      <c r="P36" s="17" t="n">
        <v>799</v>
      </c>
      <c r="Q36" s="17" t="n">
        <v>299</v>
      </c>
      <c r="R36" s="27" t="str">
        <f aca="false">IF(G36=_xlfn.MINIFS($G$2:$G$361,$A$2:$A$361,$A36),"BEST","")</f>
        <v/>
      </c>
    </row>
    <row r="37" customFormat="false" ht="15" hidden="false" customHeight="false" outlineLevel="0" collapsed="false">
      <c r="A37" s="16" t="s">
        <v>45</v>
      </c>
      <c r="B37" s="17" t="s">
        <v>102</v>
      </c>
      <c r="C37" s="16" t="s">
        <v>68</v>
      </c>
      <c r="D37" s="16" t="s">
        <v>98</v>
      </c>
      <c r="E37" s="17" t="s">
        <v>99</v>
      </c>
      <c r="F37" s="17" t="n">
        <v>0</v>
      </c>
      <c r="G37" s="19" t="n">
        <v>0.030158278161482</v>
      </c>
      <c r="H37" s="19" t="n">
        <v>0.00874415240120225</v>
      </c>
      <c r="I37" s="19" t="n">
        <v>0.00555682690025181</v>
      </c>
      <c r="J37" s="18" t="n">
        <v>0.999090478258335</v>
      </c>
      <c r="K37" s="29" t="n">
        <v>2.70910727867844</v>
      </c>
      <c r="L37" s="19" t="n">
        <v>0.0582175473661405</v>
      </c>
      <c r="M37" s="17" t="n">
        <v>4</v>
      </c>
      <c r="N37" s="17"/>
      <c r="O37" s="17" t="n">
        <v>4</v>
      </c>
      <c r="P37" s="17" t="n">
        <v>799</v>
      </c>
      <c r="Q37" s="17" t="n">
        <v>299</v>
      </c>
      <c r="R37" s="27" t="str">
        <f aca="false">IF(G37=_xlfn.MINIFS($G$2:$G$361,$A$2:$A$361,$A37),"BEST","")</f>
        <v/>
      </c>
    </row>
    <row r="38" customFormat="false" ht="15" hidden="false" customHeight="false" outlineLevel="0" collapsed="false">
      <c r="A38" s="16" t="s">
        <v>45</v>
      </c>
      <c r="B38" s="17" t="s">
        <v>102</v>
      </c>
      <c r="C38" s="16" t="s">
        <v>68</v>
      </c>
      <c r="D38" s="16" t="s">
        <v>98</v>
      </c>
      <c r="E38" s="17" t="s">
        <v>99</v>
      </c>
      <c r="F38" s="17" t="n">
        <v>1</v>
      </c>
      <c r="G38" s="19" t="n">
        <v>0.030158278161482</v>
      </c>
      <c r="H38" s="19" t="n">
        <v>0.00874415240120225</v>
      </c>
      <c r="I38" s="19" t="n">
        <v>0.00555682690025181</v>
      </c>
      <c r="J38" s="18" t="n">
        <v>0.999090478258335</v>
      </c>
      <c r="K38" s="29" t="n">
        <v>2.70910727867844</v>
      </c>
      <c r="L38" s="19" t="n">
        <v>0.0582175473661405</v>
      </c>
      <c r="M38" s="17" t="n">
        <v>4</v>
      </c>
      <c r="N38" s="17"/>
      <c r="O38" s="17" t="n">
        <v>4</v>
      </c>
      <c r="P38" s="17" t="n">
        <v>799</v>
      </c>
      <c r="Q38" s="17" t="n">
        <v>299</v>
      </c>
      <c r="R38" s="27" t="str">
        <f aca="false">IF(G38=_xlfn.MINIFS($G$2:$G$361,$A$2:$A$361,$A38),"BEST","")</f>
        <v/>
      </c>
    </row>
    <row r="39" customFormat="false" ht="15" hidden="false" customHeight="false" outlineLevel="0" collapsed="false">
      <c r="A39" s="16" t="s">
        <v>45</v>
      </c>
      <c r="B39" s="17" t="s">
        <v>102</v>
      </c>
      <c r="C39" s="16" t="s">
        <v>68</v>
      </c>
      <c r="D39" s="16" t="s">
        <v>98</v>
      </c>
      <c r="E39" s="17" t="s">
        <v>99</v>
      </c>
      <c r="F39" s="17" t="n">
        <v>2</v>
      </c>
      <c r="G39" s="19" t="n">
        <v>0.030158278161482</v>
      </c>
      <c r="H39" s="19" t="n">
        <v>0.00874415240120225</v>
      </c>
      <c r="I39" s="19" t="n">
        <v>0.00555682690025181</v>
      </c>
      <c r="J39" s="18" t="n">
        <v>0.999090478258335</v>
      </c>
      <c r="K39" s="29" t="n">
        <v>2.70910727867844</v>
      </c>
      <c r="L39" s="19" t="n">
        <v>0.0582175473661405</v>
      </c>
      <c r="M39" s="17" t="n">
        <v>4</v>
      </c>
      <c r="N39" s="17"/>
      <c r="O39" s="17" t="n">
        <v>4</v>
      </c>
      <c r="P39" s="17" t="n">
        <v>799</v>
      </c>
      <c r="Q39" s="17" t="n">
        <v>299</v>
      </c>
      <c r="R39" s="27" t="str">
        <f aca="false">IF(G39=_xlfn.MINIFS($G$2:$G$361,$A$2:$A$361,$A39),"BEST","")</f>
        <v/>
      </c>
    </row>
    <row r="40" customFormat="false" ht="15" hidden="false" customHeight="false" outlineLevel="0" collapsed="false">
      <c r="A40" s="16" t="s">
        <v>45</v>
      </c>
      <c r="B40" s="17" t="s">
        <v>102</v>
      </c>
      <c r="C40" s="16" t="s">
        <v>68</v>
      </c>
      <c r="D40" s="16" t="s">
        <v>98</v>
      </c>
      <c r="E40" s="17" t="s">
        <v>99</v>
      </c>
      <c r="F40" s="17" t="n">
        <v>3</v>
      </c>
      <c r="G40" s="19" t="n">
        <v>0.030158278161482</v>
      </c>
      <c r="H40" s="19" t="n">
        <v>0.00874415240120225</v>
      </c>
      <c r="I40" s="19" t="n">
        <v>0.00555682690025181</v>
      </c>
      <c r="J40" s="18" t="n">
        <v>0.999090478258335</v>
      </c>
      <c r="K40" s="29" t="n">
        <v>2.70910727867844</v>
      </c>
      <c r="L40" s="19" t="n">
        <v>0.0582175473661405</v>
      </c>
      <c r="M40" s="17" t="n">
        <v>4</v>
      </c>
      <c r="N40" s="17"/>
      <c r="O40" s="17" t="n">
        <v>4</v>
      </c>
      <c r="P40" s="17" t="n">
        <v>799</v>
      </c>
      <c r="Q40" s="17" t="n">
        <v>299</v>
      </c>
      <c r="R40" s="27" t="str">
        <f aca="false">IF(G40=_xlfn.MINIFS($G$2:$G$361,$A$2:$A$361,$A40),"BEST","")</f>
        <v/>
      </c>
    </row>
    <row r="41" customFormat="false" ht="15" hidden="false" customHeight="false" outlineLevel="0" collapsed="false">
      <c r="A41" s="16" t="s">
        <v>45</v>
      </c>
      <c r="B41" s="17" t="s">
        <v>102</v>
      </c>
      <c r="C41" s="16" t="s">
        <v>68</v>
      </c>
      <c r="D41" s="16" t="s">
        <v>98</v>
      </c>
      <c r="E41" s="17" t="s">
        <v>99</v>
      </c>
      <c r="F41" s="17" t="n">
        <v>4</v>
      </c>
      <c r="G41" s="19" t="n">
        <v>0.030158278161482</v>
      </c>
      <c r="H41" s="19" t="n">
        <v>0.00874415240120225</v>
      </c>
      <c r="I41" s="19" t="n">
        <v>0.00555682690025181</v>
      </c>
      <c r="J41" s="18" t="n">
        <v>0.999090478258335</v>
      </c>
      <c r="K41" s="29" t="n">
        <v>2.70910727867844</v>
      </c>
      <c r="L41" s="19" t="n">
        <v>0.0582175473661405</v>
      </c>
      <c r="M41" s="17" t="n">
        <v>4</v>
      </c>
      <c r="N41" s="17"/>
      <c r="O41" s="17" t="n">
        <v>4</v>
      </c>
      <c r="P41" s="17" t="n">
        <v>799</v>
      </c>
      <c r="Q41" s="17" t="n">
        <v>299</v>
      </c>
      <c r="R41" s="27" t="str">
        <f aca="false">IF(G41=_xlfn.MINIFS($G$2:$G$361,$A$2:$A$361,$A41),"BEST","")</f>
        <v/>
      </c>
    </row>
    <row r="42" customFormat="false" ht="15" hidden="false" customHeight="false" outlineLevel="0" collapsed="false">
      <c r="A42" s="16" t="s">
        <v>45</v>
      </c>
      <c r="B42" s="16" t="s">
        <v>103</v>
      </c>
      <c r="C42" s="16" t="s">
        <v>68</v>
      </c>
      <c r="D42" s="16" t="s">
        <v>98</v>
      </c>
      <c r="E42" s="17" t="s">
        <v>99</v>
      </c>
      <c r="F42" s="17" t="n">
        <v>0</v>
      </c>
      <c r="G42" s="19" t="n">
        <v>0.0430826311251352</v>
      </c>
      <c r="H42" s="19" t="n">
        <v>0.0124914655401019</v>
      </c>
      <c r="I42" s="19" t="n">
        <v>0.00859881607452573</v>
      </c>
      <c r="J42" s="18" t="n">
        <v>0.998143886895336</v>
      </c>
      <c r="K42" s="29" t="n">
        <v>2.82873018057422</v>
      </c>
      <c r="L42" s="19" t="n">
        <v>0.0435050405705021</v>
      </c>
      <c r="M42" s="17" t="n">
        <v>4</v>
      </c>
      <c r="N42" s="17"/>
      <c r="O42" s="17" t="n">
        <v>4</v>
      </c>
      <c r="P42" s="17" t="n">
        <v>799</v>
      </c>
      <c r="Q42" s="17" t="n">
        <v>299</v>
      </c>
      <c r="R42" s="27" t="str">
        <f aca="false">IF(G42=_xlfn.MINIFS($G$2:$G$361,$A$2:$A$361,$A42),"BEST","")</f>
        <v/>
      </c>
    </row>
    <row r="43" customFormat="false" ht="15" hidden="false" customHeight="false" outlineLevel="0" collapsed="false">
      <c r="A43" s="16" t="s">
        <v>45</v>
      </c>
      <c r="B43" s="16" t="s">
        <v>103</v>
      </c>
      <c r="C43" s="16" t="s">
        <v>68</v>
      </c>
      <c r="D43" s="16" t="s">
        <v>98</v>
      </c>
      <c r="E43" s="17" t="s">
        <v>99</v>
      </c>
      <c r="F43" s="17" t="n">
        <v>1</v>
      </c>
      <c r="G43" s="19" t="n">
        <v>0.0430826311251352</v>
      </c>
      <c r="H43" s="19" t="n">
        <v>0.0124914655401019</v>
      </c>
      <c r="I43" s="19" t="n">
        <v>0.00859881607452573</v>
      </c>
      <c r="J43" s="18" t="n">
        <v>0.998143886895336</v>
      </c>
      <c r="K43" s="29" t="n">
        <v>2.82873018057422</v>
      </c>
      <c r="L43" s="19" t="n">
        <v>0.0435050405705021</v>
      </c>
      <c r="M43" s="17" t="n">
        <v>4</v>
      </c>
      <c r="N43" s="17"/>
      <c r="O43" s="17" t="n">
        <v>4</v>
      </c>
      <c r="P43" s="17" t="n">
        <v>799</v>
      </c>
      <c r="Q43" s="17" t="n">
        <v>299</v>
      </c>
      <c r="R43" s="27" t="str">
        <f aca="false">IF(G43=_xlfn.MINIFS($G$2:$G$361,$A$2:$A$361,$A43),"BEST","")</f>
        <v/>
      </c>
    </row>
    <row r="44" customFormat="false" ht="15" hidden="false" customHeight="false" outlineLevel="0" collapsed="false">
      <c r="A44" s="16" t="s">
        <v>45</v>
      </c>
      <c r="B44" s="16" t="s">
        <v>103</v>
      </c>
      <c r="C44" s="16" t="s">
        <v>68</v>
      </c>
      <c r="D44" s="16" t="s">
        <v>98</v>
      </c>
      <c r="E44" s="17" t="s">
        <v>99</v>
      </c>
      <c r="F44" s="17" t="n">
        <v>2</v>
      </c>
      <c r="G44" s="19" t="n">
        <v>0.0430826311251352</v>
      </c>
      <c r="H44" s="19" t="n">
        <v>0.0124914655401019</v>
      </c>
      <c r="I44" s="19" t="n">
        <v>0.00859881607452573</v>
      </c>
      <c r="J44" s="18" t="n">
        <v>0.998143886895336</v>
      </c>
      <c r="K44" s="29" t="n">
        <v>2.82873018057422</v>
      </c>
      <c r="L44" s="19" t="n">
        <v>0.0435050405705021</v>
      </c>
      <c r="M44" s="17" t="n">
        <v>4</v>
      </c>
      <c r="N44" s="17"/>
      <c r="O44" s="17" t="n">
        <v>4</v>
      </c>
      <c r="P44" s="17" t="n">
        <v>799</v>
      </c>
      <c r="Q44" s="17" t="n">
        <v>299</v>
      </c>
      <c r="R44" s="27" t="str">
        <f aca="false">IF(G44=_xlfn.MINIFS($G$2:$G$361,$A$2:$A$361,$A44),"BEST","")</f>
        <v/>
      </c>
    </row>
    <row r="45" customFormat="false" ht="15" hidden="false" customHeight="false" outlineLevel="0" collapsed="false">
      <c r="A45" s="16" t="s">
        <v>45</v>
      </c>
      <c r="B45" s="16" t="s">
        <v>103</v>
      </c>
      <c r="C45" s="16" t="s">
        <v>68</v>
      </c>
      <c r="D45" s="16" t="s">
        <v>98</v>
      </c>
      <c r="E45" s="17" t="s">
        <v>99</v>
      </c>
      <c r="F45" s="17" t="n">
        <v>3</v>
      </c>
      <c r="G45" s="19" t="n">
        <v>0.0430826311251352</v>
      </c>
      <c r="H45" s="19" t="n">
        <v>0.0124914655401019</v>
      </c>
      <c r="I45" s="19" t="n">
        <v>0.00859881607452573</v>
      </c>
      <c r="J45" s="18" t="n">
        <v>0.998143886895336</v>
      </c>
      <c r="K45" s="29" t="n">
        <v>2.82873018057422</v>
      </c>
      <c r="L45" s="19" t="n">
        <v>0.0435050405705021</v>
      </c>
      <c r="M45" s="17" t="n">
        <v>4</v>
      </c>
      <c r="N45" s="17"/>
      <c r="O45" s="17" t="n">
        <v>4</v>
      </c>
      <c r="P45" s="17" t="n">
        <v>799</v>
      </c>
      <c r="Q45" s="17" t="n">
        <v>299</v>
      </c>
      <c r="R45" s="27" t="str">
        <f aca="false">IF(G45=_xlfn.MINIFS($G$2:$G$361,$A$2:$A$361,$A45),"BEST","")</f>
        <v/>
      </c>
    </row>
    <row r="46" customFormat="false" ht="15" hidden="false" customHeight="false" outlineLevel="0" collapsed="false">
      <c r="A46" s="16" t="s">
        <v>45</v>
      </c>
      <c r="B46" s="16" t="s">
        <v>103</v>
      </c>
      <c r="C46" s="16" t="s">
        <v>68</v>
      </c>
      <c r="D46" s="16" t="s">
        <v>98</v>
      </c>
      <c r="E46" s="17" t="s">
        <v>99</v>
      </c>
      <c r="F46" s="17" t="n">
        <v>4</v>
      </c>
      <c r="G46" s="19" t="n">
        <v>0.0430826311251352</v>
      </c>
      <c r="H46" s="19" t="n">
        <v>0.0124914655401019</v>
      </c>
      <c r="I46" s="19" t="n">
        <v>0.00859881607452573</v>
      </c>
      <c r="J46" s="18" t="n">
        <v>0.998143886895336</v>
      </c>
      <c r="K46" s="29" t="n">
        <v>2.82873018057422</v>
      </c>
      <c r="L46" s="19" t="n">
        <v>0.0435050405705021</v>
      </c>
      <c r="M46" s="17" t="n">
        <v>4</v>
      </c>
      <c r="N46" s="17"/>
      <c r="O46" s="17" t="n">
        <v>4</v>
      </c>
      <c r="P46" s="17" t="n">
        <v>799</v>
      </c>
      <c r="Q46" s="17" t="n">
        <v>299</v>
      </c>
      <c r="R46" s="27" t="str">
        <f aca="false">IF(G46=_xlfn.MINIFS($G$2:$G$361,$A$2:$A$361,$A46),"BEST","")</f>
        <v/>
      </c>
    </row>
    <row r="47" customFormat="false" ht="15" hidden="false" customHeight="false" outlineLevel="0" collapsed="false">
      <c r="A47" s="16" t="s">
        <v>45</v>
      </c>
      <c r="B47" s="16" t="s">
        <v>104</v>
      </c>
      <c r="C47" s="16" t="s">
        <v>68</v>
      </c>
      <c r="D47" s="16" t="s">
        <v>89</v>
      </c>
      <c r="E47" s="17" t="s">
        <v>105</v>
      </c>
      <c r="F47" s="17" t="n">
        <v>1</v>
      </c>
      <c r="G47" s="19" t="n">
        <v>0.0449404472430266</v>
      </c>
      <c r="H47" s="19" t="n">
        <v>0.0130301245172912</v>
      </c>
      <c r="I47" s="19" t="n">
        <v>0.0100169315531692</v>
      </c>
      <c r="J47" s="18" t="n">
        <v>0.997980356201597</v>
      </c>
      <c r="K47" s="29" t="n">
        <v>6.73826718700653</v>
      </c>
      <c r="L47" s="19" t="n">
        <v>0.045665708624149</v>
      </c>
      <c r="M47" s="17" t="n">
        <v>300</v>
      </c>
      <c r="N47" s="17" t="n">
        <v>301</v>
      </c>
      <c r="O47" s="17" t="n">
        <v>3</v>
      </c>
      <c r="P47" s="17" t="n">
        <v>799</v>
      </c>
      <c r="Q47" s="17" t="n">
        <v>299</v>
      </c>
      <c r="R47" s="27" t="str">
        <f aca="false">IF(G47=_xlfn.MINIFS($G$2:$G$361,$A$2:$A$361,$A47),"BEST","")</f>
        <v/>
      </c>
    </row>
    <row r="48" customFormat="false" ht="15" hidden="false" customHeight="false" outlineLevel="0" collapsed="false">
      <c r="A48" s="16" t="s">
        <v>45</v>
      </c>
      <c r="B48" s="16" t="s">
        <v>104</v>
      </c>
      <c r="C48" s="16" t="s">
        <v>68</v>
      </c>
      <c r="D48" s="16" t="s">
        <v>89</v>
      </c>
      <c r="E48" s="17" t="s">
        <v>105</v>
      </c>
      <c r="F48" s="17" t="n">
        <v>3</v>
      </c>
      <c r="G48" s="19" t="n">
        <v>0.0449614797914997</v>
      </c>
      <c r="H48" s="19" t="n">
        <v>0.0130362227370983</v>
      </c>
      <c r="I48" s="19" t="n">
        <v>0.00999725624921976</v>
      </c>
      <c r="J48" s="18" t="n">
        <v>0.997978465334959</v>
      </c>
      <c r="K48" s="29" t="n">
        <v>6.41357544405057</v>
      </c>
      <c r="L48" s="19" t="n">
        <v>0.0435862360180932</v>
      </c>
      <c r="M48" s="17" t="n">
        <v>300</v>
      </c>
      <c r="N48" s="17" t="n">
        <v>301</v>
      </c>
      <c r="O48" s="17" t="n">
        <v>3</v>
      </c>
      <c r="P48" s="17" t="n">
        <v>799</v>
      </c>
      <c r="Q48" s="17" t="n">
        <v>299</v>
      </c>
      <c r="R48" s="27" t="str">
        <f aca="false">IF(G48=_xlfn.MINIFS($G$2:$G$361,$A$2:$A$361,$A48),"BEST","")</f>
        <v/>
      </c>
    </row>
    <row r="49" customFormat="false" ht="15" hidden="false" customHeight="false" outlineLevel="0" collapsed="false">
      <c r="A49" s="16" t="s">
        <v>45</v>
      </c>
      <c r="B49" s="16" t="s">
        <v>104</v>
      </c>
      <c r="C49" s="16" t="s">
        <v>68</v>
      </c>
      <c r="D49" s="16" t="s">
        <v>89</v>
      </c>
      <c r="E49" s="17" t="s">
        <v>105</v>
      </c>
      <c r="F49" s="17" t="n">
        <v>0</v>
      </c>
      <c r="G49" s="19" t="n">
        <v>0.0478785321192679</v>
      </c>
      <c r="H49" s="19" t="n">
        <v>0.0138819988115715</v>
      </c>
      <c r="I49" s="19" t="n">
        <v>0.0105818083988947</v>
      </c>
      <c r="J49" s="18" t="n">
        <v>0.997707646162104</v>
      </c>
      <c r="K49" s="29" t="n">
        <v>7.1009746335407</v>
      </c>
      <c r="L49" s="19" t="n">
        <v>0.0510164996764126</v>
      </c>
      <c r="M49" s="17" t="n">
        <v>300</v>
      </c>
      <c r="N49" s="17" t="n">
        <v>301</v>
      </c>
      <c r="O49" s="17" t="n">
        <v>3</v>
      </c>
      <c r="P49" s="17" t="n">
        <v>799</v>
      </c>
      <c r="Q49" s="17" t="n">
        <v>299</v>
      </c>
      <c r="R49" s="27" t="str">
        <f aca="false">IF(G49=_xlfn.MINIFS($G$2:$G$361,$A$2:$A$361,$A49),"BEST","")</f>
        <v/>
      </c>
    </row>
    <row r="50" customFormat="false" ht="15" hidden="false" customHeight="false" outlineLevel="0" collapsed="false">
      <c r="A50" s="16" t="s">
        <v>45</v>
      </c>
      <c r="B50" s="16" t="s">
        <v>104</v>
      </c>
      <c r="C50" s="16" t="s">
        <v>68</v>
      </c>
      <c r="D50" s="16" t="s">
        <v>89</v>
      </c>
      <c r="E50" s="17" t="s">
        <v>105</v>
      </c>
      <c r="F50" s="17" t="n">
        <v>2</v>
      </c>
      <c r="G50" s="19" t="n">
        <v>0.0498979579370561</v>
      </c>
      <c r="H50" s="19" t="n">
        <v>0.0144675152332688</v>
      </c>
      <c r="I50" s="19" t="n">
        <v>0.0108220880936558</v>
      </c>
      <c r="J50" s="18" t="n">
        <v>0.997510193793712</v>
      </c>
      <c r="K50" s="29" t="n">
        <v>7.17676311419147</v>
      </c>
      <c r="L50" s="19" t="n">
        <v>0.0530237991961522</v>
      </c>
      <c r="M50" s="17" t="n">
        <v>300</v>
      </c>
      <c r="N50" s="17" t="n">
        <v>301</v>
      </c>
      <c r="O50" s="17" t="n">
        <v>3</v>
      </c>
      <c r="P50" s="17" t="n">
        <v>799</v>
      </c>
      <c r="Q50" s="17" t="n">
        <v>299</v>
      </c>
      <c r="R50" s="27" t="str">
        <f aca="false">IF(G50=_xlfn.MINIFS($G$2:$G$361,$A$2:$A$361,$A50),"BEST","")</f>
        <v/>
      </c>
    </row>
    <row r="51" customFormat="false" ht="15" hidden="false" customHeight="false" outlineLevel="0" collapsed="false">
      <c r="A51" s="16" t="s">
        <v>45</v>
      </c>
      <c r="B51" s="16" t="s">
        <v>106</v>
      </c>
      <c r="C51" s="16" t="s">
        <v>68</v>
      </c>
      <c r="D51" s="16" t="s">
        <v>107</v>
      </c>
      <c r="E51" s="17" t="s">
        <v>108</v>
      </c>
      <c r="F51" s="17" t="n">
        <v>4</v>
      </c>
      <c r="G51" s="19" t="n">
        <v>0.0538155349582619</v>
      </c>
      <c r="H51" s="19" t="n">
        <v>0.015603385468746</v>
      </c>
      <c r="I51" s="19" t="n">
        <v>0.0121930326951014</v>
      </c>
      <c r="J51" s="18" t="n">
        <v>0.997103888197156</v>
      </c>
      <c r="K51" s="29" t="n">
        <v>7.17886945637779</v>
      </c>
      <c r="L51" s="19" t="n">
        <v>0.0458756441246537</v>
      </c>
      <c r="M51" s="17" t="n">
        <v>8</v>
      </c>
      <c r="N51" s="17" t="n">
        <v>8897</v>
      </c>
      <c r="O51" s="17" t="n">
        <v>8</v>
      </c>
      <c r="P51" s="17" t="n">
        <v>640</v>
      </c>
      <c r="Q51" s="17" t="n">
        <v>299</v>
      </c>
      <c r="R51" s="27" t="str">
        <f aca="false">IF(G51=_xlfn.MINIFS($G$2:$G$361,$A$2:$A$361,$A51),"BEST","")</f>
        <v/>
      </c>
    </row>
    <row r="52" customFormat="false" ht="15" hidden="false" customHeight="false" outlineLevel="0" collapsed="false">
      <c r="A52" s="16" t="s">
        <v>45</v>
      </c>
      <c r="B52" s="16" t="s">
        <v>104</v>
      </c>
      <c r="C52" s="16" t="s">
        <v>68</v>
      </c>
      <c r="D52" s="16" t="s">
        <v>89</v>
      </c>
      <c r="E52" s="17" t="s">
        <v>105</v>
      </c>
      <c r="F52" s="17" t="n">
        <v>4</v>
      </c>
      <c r="G52" s="19" t="n">
        <v>0.055445854566581</v>
      </c>
      <c r="H52" s="19" t="n">
        <v>0.0160760836460583</v>
      </c>
      <c r="I52" s="19" t="n">
        <v>0.0120531625957328</v>
      </c>
      <c r="J52" s="18" t="n">
        <v>0.996925757211382</v>
      </c>
      <c r="K52" s="29" t="n">
        <v>7.64088800104806</v>
      </c>
      <c r="L52" s="19" t="n">
        <v>0.067402386559747</v>
      </c>
      <c r="M52" s="17" t="n">
        <v>300</v>
      </c>
      <c r="N52" s="17" t="n">
        <v>301</v>
      </c>
      <c r="O52" s="17" t="n">
        <v>3</v>
      </c>
      <c r="P52" s="17" t="n">
        <v>799</v>
      </c>
      <c r="Q52" s="17" t="n">
        <v>299</v>
      </c>
      <c r="R52" s="27" t="str">
        <f aca="false">IF(G52=_xlfn.MINIFS($G$2:$G$361,$A$2:$A$361,$A52),"BEST","")</f>
        <v/>
      </c>
    </row>
    <row r="53" customFormat="false" ht="15" hidden="false" customHeight="false" outlineLevel="0" collapsed="false">
      <c r="A53" s="16" t="s">
        <v>45</v>
      </c>
      <c r="B53" s="16" t="s">
        <v>109</v>
      </c>
      <c r="C53" s="16" t="s">
        <v>68</v>
      </c>
      <c r="D53" s="16" t="s">
        <v>107</v>
      </c>
      <c r="E53" s="17" t="s">
        <v>108</v>
      </c>
      <c r="F53" s="17" t="n">
        <v>2</v>
      </c>
      <c r="G53" s="19" t="n">
        <v>0.0575137349232819</v>
      </c>
      <c r="H53" s="19" t="n">
        <v>0.0166756490751464</v>
      </c>
      <c r="I53" s="19" t="n">
        <v>0.0122531875415782</v>
      </c>
      <c r="J53" s="18" t="n">
        <v>0.996692170295174</v>
      </c>
      <c r="K53" s="29" t="n">
        <v>6.46552824298849</v>
      </c>
      <c r="L53" s="19" t="n">
        <v>0.0681555861392729</v>
      </c>
      <c r="M53" s="17" t="n">
        <v>8</v>
      </c>
      <c r="N53" s="17" t="n">
        <v>4801</v>
      </c>
      <c r="O53" s="17" t="n">
        <v>8</v>
      </c>
      <c r="P53" s="17" t="n">
        <v>640</v>
      </c>
      <c r="Q53" s="17" t="n">
        <v>299</v>
      </c>
      <c r="R53" s="27" t="str">
        <f aca="false">IF(G53=_xlfn.MINIFS($G$2:$G$361,$A$2:$A$361,$A53),"BEST","")</f>
        <v/>
      </c>
    </row>
    <row r="54" customFormat="false" ht="15" hidden="false" customHeight="false" outlineLevel="0" collapsed="false">
      <c r="A54" s="16" t="s">
        <v>45</v>
      </c>
      <c r="B54" s="16" t="s">
        <v>106</v>
      </c>
      <c r="C54" s="16" t="s">
        <v>68</v>
      </c>
      <c r="D54" s="16" t="s">
        <v>107</v>
      </c>
      <c r="E54" s="17" t="s">
        <v>108</v>
      </c>
      <c r="F54" s="17" t="n">
        <v>2</v>
      </c>
      <c r="G54" s="19" t="n">
        <v>0.0622985615868495</v>
      </c>
      <c r="H54" s="19" t="n">
        <v>0.0180629714327274</v>
      </c>
      <c r="I54" s="19" t="n">
        <v>0.0144897896617324</v>
      </c>
      <c r="J54" s="18" t="n">
        <v>0.99611888922421</v>
      </c>
      <c r="K54" s="29" t="n">
        <v>8.18304193141036</v>
      </c>
      <c r="L54" s="19" t="n">
        <v>0.0508256090907625</v>
      </c>
      <c r="M54" s="17" t="n">
        <v>8</v>
      </c>
      <c r="N54" s="17" t="n">
        <v>8897</v>
      </c>
      <c r="O54" s="17" t="n">
        <v>8</v>
      </c>
      <c r="P54" s="17" t="n">
        <v>640</v>
      </c>
      <c r="Q54" s="17" t="n">
        <v>299</v>
      </c>
      <c r="R54" s="27" t="str">
        <f aca="false">IF(G54=_xlfn.MINIFS($G$2:$G$361,$A$2:$A$361,$A54),"BEST","")</f>
        <v/>
      </c>
    </row>
    <row r="55" customFormat="false" ht="15" hidden="false" customHeight="false" outlineLevel="0" collapsed="false">
      <c r="A55" s="16" t="s">
        <v>45</v>
      </c>
      <c r="B55" s="16" t="s">
        <v>106</v>
      </c>
      <c r="C55" s="16" t="s">
        <v>68</v>
      </c>
      <c r="D55" s="16" t="s">
        <v>107</v>
      </c>
      <c r="E55" s="17" t="s">
        <v>108</v>
      </c>
      <c r="F55" s="17" t="n">
        <v>3</v>
      </c>
      <c r="G55" s="19" t="n">
        <v>0.0640928465908844</v>
      </c>
      <c r="H55" s="19" t="n">
        <v>0.0185832100697764</v>
      </c>
      <c r="I55" s="19" t="n">
        <v>0.0151365248692751</v>
      </c>
      <c r="J55" s="18" t="n">
        <v>0.995892107015877</v>
      </c>
      <c r="K55" s="29" t="n">
        <v>7.7300142461313</v>
      </c>
      <c r="L55" s="19" t="n">
        <v>0.0485573148278009</v>
      </c>
      <c r="M55" s="17" t="n">
        <v>8</v>
      </c>
      <c r="N55" s="17" t="n">
        <v>8897</v>
      </c>
      <c r="O55" s="17" t="n">
        <v>8</v>
      </c>
      <c r="P55" s="17" t="n">
        <v>640</v>
      </c>
      <c r="Q55" s="17" t="n">
        <v>299</v>
      </c>
      <c r="R55" s="27" t="str">
        <f aca="false">IF(G55=_xlfn.MINIFS($G$2:$G$361,$A$2:$A$361,$A55),"BEST","")</f>
        <v/>
      </c>
    </row>
    <row r="56" customFormat="false" ht="15" hidden="false" customHeight="false" outlineLevel="0" collapsed="false">
      <c r="A56" s="16" t="s">
        <v>45</v>
      </c>
      <c r="B56" s="16" t="s">
        <v>106</v>
      </c>
      <c r="C56" s="16" t="s">
        <v>68</v>
      </c>
      <c r="D56" s="16" t="s">
        <v>107</v>
      </c>
      <c r="E56" s="17" t="s">
        <v>108</v>
      </c>
      <c r="F56" s="17" t="n">
        <v>0</v>
      </c>
      <c r="G56" s="19" t="n">
        <v>0.0666378603847897</v>
      </c>
      <c r="H56" s="19" t="n">
        <v>0.0193211165363827</v>
      </c>
      <c r="I56" s="19" t="n">
        <v>0.0149407312265066</v>
      </c>
      <c r="J56" s="18" t="n">
        <v>0.995559395563337</v>
      </c>
      <c r="K56" s="29" t="n">
        <v>8.24573431982763</v>
      </c>
      <c r="L56" s="19" t="n">
        <v>0.0502607137826588</v>
      </c>
      <c r="M56" s="17" t="n">
        <v>8</v>
      </c>
      <c r="N56" s="17" t="n">
        <v>8897</v>
      </c>
      <c r="O56" s="17" t="n">
        <v>8</v>
      </c>
      <c r="P56" s="17" t="n">
        <v>640</v>
      </c>
      <c r="Q56" s="17" t="n">
        <v>299</v>
      </c>
      <c r="R56" s="27" t="str">
        <f aca="false">IF(G56=_xlfn.MINIFS($G$2:$G$361,$A$2:$A$361,$A56),"BEST","")</f>
        <v/>
      </c>
    </row>
    <row r="57" customFormat="false" ht="15" hidden="false" customHeight="false" outlineLevel="0" collapsed="false">
      <c r="A57" s="16" t="s">
        <v>45</v>
      </c>
      <c r="B57" s="16" t="s">
        <v>109</v>
      </c>
      <c r="C57" s="16" t="s">
        <v>68</v>
      </c>
      <c r="D57" s="16" t="s">
        <v>107</v>
      </c>
      <c r="E57" s="17" t="s">
        <v>108</v>
      </c>
      <c r="F57" s="17" t="n">
        <v>4</v>
      </c>
      <c r="G57" s="19" t="n">
        <v>0.0698417277928187</v>
      </c>
      <c r="H57" s="19" t="n">
        <v>0.0202500523575541</v>
      </c>
      <c r="I57" s="19" t="n">
        <v>0.0151004902495505</v>
      </c>
      <c r="J57" s="18" t="n">
        <v>0.995122133058914</v>
      </c>
      <c r="K57" s="29" t="n">
        <v>8.63395142999643</v>
      </c>
      <c r="L57" s="19" t="n">
        <v>0.0689067834773771</v>
      </c>
      <c r="M57" s="17" t="n">
        <v>8</v>
      </c>
      <c r="N57" s="17" t="n">
        <v>4801</v>
      </c>
      <c r="O57" s="17" t="n">
        <v>8</v>
      </c>
      <c r="P57" s="17" t="n">
        <v>640</v>
      </c>
      <c r="Q57" s="17" t="n">
        <v>299</v>
      </c>
      <c r="R57" s="27" t="str">
        <f aca="false">IF(G57=_xlfn.MINIFS($G$2:$G$361,$A$2:$A$361,$A57),"BEST","")</f>
        <v/>
      </c>
    </row>
    <row r="58" customFormat="false" ht="15" hidden="false" customHeight="false" outlineLevel="0" collapsed="false">
      <c r="A58" s="16" t="s">
        <v>45</v>
      </c>
      <c r="B58" s="16" t="s">
        <v>109</v>
      </c>
      <c r="C58" s="16" t="s">
        <v>68</v>
      </c>
      <c r="D58" s="16" t="s">
        <v>107</v>
      </c>
      <c r="E58" s="17" t="s">
        <v>108</v>
      </c>
      <c r="F58" s="17" t="n">
        <v>0</v>
      </c>
      <c r="G58" s="19" t="n">
        <v>0.0895360244482554</v>
      </c>
      <c r="H58" s="19" t="n">
        <v>0.0259602567156255</v>
      </c>
      <c r="I58" s="19" t="n">
        <v>0.0196562793820911</v>
      </c>
      <c r="J58" s="18" t="n">
        <v>0.991983300326002</v>
      </c>
      <c r="K58" s="29" t="n">
        <v>7.39637103659648</v>
      </c>
      <c r="L58" s="19" t="n">
        <v>0.0783517089386552</v>
      </c>
      <c r="M58" s="17" t="n">
        <v>8</v>
      </c>
      <c r="N58" s="17" t="n">
        <v>4801</v>
      </c>
      <c r="O58" s="17" t="n">
        <v>8</v>
      </c>
      <c r="P58" s="17" t="n">
        <v>640</v>
      </c>
      <c r="Q58" s="17" t="n">
        <v>299</v>
      </c>
      <c r="R58" s="27" t="str">
        <f aca="false">IF(G58=_xlfn.MINIFS($G$2:$G$361,$A$2:$A$361,$A58),"BEST","")</f>
        <v/>
      </c>
    </row>
    <row r="59" customFormat="false" ht="15" hidden="false" customHeight="false" outlineLevel="0" collapsed="false">
      <c r="A59" s="16" t="s">
        <v>45</v>
      </c>
      <c r="B59" s="16" t="s">
        <v>109</v>
      </c>
      <c r="C59" s="16" t="s">
        <v>68</v>
      </c>
      <c r="D59" s="16" t="s">
        <v>107</v>
      </c>
      <c r="E59" s="17" t="s">
        <v>108</v>
      </c>
      <c r="F59" s="17" t="n">
        <v>1</v>
      </c>
      <c r="G59" s="19" t="n">
        <v>0.091599780814567</v>
      </c>
      <c r="H59" s="19" t="n">
        <v>0.026558626426567</v>
      </c>
      <c r="I59" s="19" t="n">
        <v>0.0212233272118513</v>
      </c>
      <c r="J59" s="18" t="n">
        <v>0.991609480154723</v>
      </c>
      <c r="K59" s="29" t="n">
        <v>8.63296692433884</v>
      </c>
      <c r="L59" s="19" t="n">
        <v>0.0813998904724687</v>
      </c>
      <c r="M59" s="17" t="n">
        <v>8</v>
      </c>
      <c r="N59" s="17" t="n">
        <v>4801</v>
      </c>
      <c r="O59" s="17" t="n">
        <v>8</v>
      </c>
      <c r="P59" s="17" t="n">
        <v>640</v>
      </c>
      <c r="Q59" s="17" t="n">
        <v>299</v>
      </c>
      <c r="R59" s="27" t="str">
        <f aca="false">IF(G59=_xlfn.MINIFS($G$2:$G$361,$A$2:$A$361,$A59),"BEST","")</f>
        <v/>
      </c>
    </row>
    <row r="60" customFormat="false" ht="15" hidden="false" customHeight="false" outlineLevel="0" collapsed="false">
      <c r="A60" s="16" t="s">
        <v>45</v>
      </c>
      <c r="B60" s="16" t="s">
        <v>110</v>
      </c>
      <c r="C60" s="16" t="s">
        <v>68</v>
      </c>
      <c r="D60" s="16" t="s">
        <v>107</v>
      </c>
      <c r="E60" s="17" t="s">
        <v>108</v>
      </c>
      <c r="F60" s="17" t="n">
        <v>1</v>
      </c>
      <c r="G60" s="19" t="n">
        <v>0.115183894451726</v>
      </c>
      <c r="H60" s="19" t="n">
        <v>0.033396652217906</v>
      </c>
      <c r="I60" s="19" t="n">
        <v>0.0266182129863556</v>
      </c>
      <c r="J60" s="18" t="n">
        <v>0.986732670458934</v>
      </c>
      <c r="K60" s="29" t="n">
        <v>12.6286295234168</v>
      </c>
      <c r="L60" s="19" t="n">
        <v>0.0946943445233873</v>
      </c>
      <c r="M60" s="17" t="n">
        <v>8</v>
      </c>
      <c r="N60" s="17" t="n">
        <v>12673</v>
      </c>
      <c r="O60" s="17" t="n">
        <v>8</v>
      </c>
      <c r="P60" s="17" t="n">
        <v>640</v>
      </c>
      <c r="Q60" s="17" t="n">
        <v>299</v>
      </c>
      <c r="R60" s="27" t="str">
        <f aca="false">IF(G60=_xlfn.MINIFS($G$2:$G$361,$A$2:$A$361,$A60),"BEST","")</f>
        <v/>
      </c>
    </row>
    <row r="61" customFormat="false" ht="15" hidden="false" customHeight="false" outlineLevel="0" collapsed="false">
      <c r="A61" s="16" t="s">
        <v>45</v>
      </c>
      <c r="B61" s="16" t="s">
        <v>110</v>
      </c>
      <c r="C61" s="16" t="s">
        <v>68</v>
      </c>
      <c r="D61" s="16" t="s">
        <v>107</v>
      </c>
      <c r="E61" s="17" t="s">
        <v>108</v>
      </c>
      <c r="F61" s="17" t="n">
        <v>2</v>
      </c>
      <c r="G61" s="19" t="n">
        <v>0.165358750923305</v>
      </c>
      <c r="H61" s="19" t="n">
        <v>0.0479444519744681</v>
      </c>
      <c r="I61" s="19" t="n">
        <v>0.0376963125114253</v>
      </c>
      <c r="J61" s="18" t="n">
        <v>0.972656483493084</v>
      </c>
      <c r="K61" s="29" t="n">
        <v>14.0242002831086</v>
      </c>
      <c r="L61" s="19" t="n">
        <v>0.175173175118178</v>
      </c>
      <c r="M61" s="17" t="n">
        <v>8</v>
      </c>
      <c r="N61" s="17" t="n">
        <v>12673</v>
      </c>
      <c r="O61" s="17" t="n">
        <v>8</v>
      </c>
      <c r="P61" s="17" t="n">
        <v>640</v>
      </c>
      <c r="Q61" s="17" t="n">
        <v>299</v>
      </c>
      <c r="R61" s="27" t="str">
        <f aca="false">IF(G61=_xlfn.MINIFS($G$2:$G$361,$A$2:$A$361,$A61),"BEST","")</f>
        <v/>
      </c>
    </row>
    <row r="62" customFormat="false" ht="15" hidden="false" customHeight="false" outlineLevel="0" collapsed="false">
      <c r="A62" s="16" t="s">
        <v>45</v>
      </c>
      <c r="B62" s="16" t="s">
        <v>109</v>
      </c>
      <c r="C62" s="16" t="s">
        <v>68</v>
      </c>
      <c r="D62" s="16" t="s">
        <v>107</v>
      </c>
      <c r="E62" s="17" t="s">
        <v>108</v>
      </c>
      <c r="F62" s="17" t="n">
        <v>3</v>
      </c>
      <c r="G62" s="19" t="n">
        <v>0.170778101350578</v>
      </c>
      <c r="H62" s="19" t="n">
        <v>0.0495157494403864</v>
      </c>
      <c r="I62" s="19" t="n">
        <v>0.0327110186657014</v>
      </c>
      <c r="J62" s="18" t="n">
        <v>0.970834840099092</v>
      </c>
      <c r="K62" s="29" t="n">
        <v>12.7095900475716</v>
      </c>
      <c r="L62" s="19" t="n">
        <v>0.255953165580806</v>
      </c>
      <c r="M62" s="17" t="n">
        <v>8</v>
      </c>
      <c r="N62" s="17" t="n">
        <v>4801</v>
      </c>
      <c r="O62" s="17" t="n">
        <v>8</v>
      </c>
      <c r="P62" s="17" t="n">
        <v>640</v>
      </c>
      <c r="Q62" s="17" t="n">
        <v>299</v>
      </c>
      <c r="R62" s="27" t="str">
        <f aca="false">IF(G62=_xlfn.MINIFS($G$2:$G$361,$A$2:$A$361,$A62),"BEST","")</f>
        <v/>
      </c>
    </row>
    <row r="63" customFormat="false" ht="15" hidden="false" customHeight="false" outlineLevel="0" collapsed="false">
      <c r="A63" s="16" t="s">
        <v>45</v>
      </c>
      <c r="B63" s="16" t="s">
        <v>110</v>
      </c>
      <c r="C63" s="16" t="s">
        <v>68</v>
      </c>
      <c r="D63" s="16" t="s">
        <v>107</v>
      </c>
      <c r="E63" s="17" t="s">
        <v>108</v>
      </c>
      <c r="F63" s="17" t="n">
        <v>0</v>
      </c>
      <c r="G63" s="19" t="n">
        <v>0.195289321750305</v>
      </c>
      <c r="H63" s="19" t="n">
        <v>0.0566225824487911</v>
      </c>
      <c r="I63" s="19" t="n">
        <v>0.0468619297146212</v>
      </c>
      <c r="J63" s="18" t="n">
        <v>0.961862080810306</v>
      </c>
      <c r="K63" s="29" t="n">
        <v>16.3658760057871</v>
      </c>
      <c r="L63" s="19" t="n">
        <v>0.173096042654723</v>
      </c>
      <c r="M63" s="17" t="n">
        <v>8</v>
      </c>
      <c r="N63" s="17" t="n">
        <v>12673</v>
      </c>
      <c r="O63" s="17" t="n">
        <v>8</v>
      </c>
      <c r="P63" s="17" t="n">
        <v>640</v>
      </c>
      <c r="Q63" s="17" t="n">
        <v>299</v>
      </c>
      <c r="R63" s="27" t="str">
        <f aca="false">IF(G63=_xlfn.MINIFS($G$2:$G$361,$A$2:$A$361,$A63),"BEST","")</f>
        <v/>
      </c>
    </row>
    <row r="64" customFormat="false" ht="15" hidden="false" customHeight="false" outlineLevel="0" collapsed="false">
      <c r="A64" s="22" t="s">
        <v>45</v>
      </c>
      <c r="B64" s="22" t="s">
        <v>111</v>
      </c>
      <c r="C64" s="22" t="s">
        <v>72</v>
      </c>
      <c r="D64" s="22" t="s">
        <v>93</v>
      </c>
      <c r="E64" s="23" t="s">
        <v>94</v>
      </c>
      <c r="F64" s="23" t="n">
        <v>3</v>
      </c>
      <c r="G64" s="25" t="n">
        <v>0.241895057452398</v>
      </c>
      <c r="H64" s="25" t="n">
        <v>0.0701355440829783</v>
      </c>
      <c r="I64" s="25" t="n">
        <v>0.0534467768030687</v>
      </c>
      <c r="J64" s="24" t="n">
        <v>0.941486781180101</v>
      </c>
      <c r="K64" s="30" t="n">
        <v>15.1020572997584</v>
      </c>
      <c r="L64" s="25" t="n">
        <v>0.235846400633534</v>
      </c>
      <c r="M64" s="23" t="n">
        <v>24</v>
      </c>
      <c r="N64" s="23" t="n">
        <v>25</v>
      </c>
      <c r="O64" s="23" t="n">
        <v>5</v>
      </c>
      <c r="P64" s="23" t="n">
        <v>799</v>
      </c>
      <c r="Q64" s="23" t="n">
        <v>299</v>
      </c>
      <c r="R64" s="27" t="str">
        <f aca="false">IF(G64=_xlfn.MINIFS($G$2:$G$361,$A$2:$A$361,$A64),"BEST","")</f>
        <v/>
      </c>
    </row>
    <row r="65" customFormat="false" ht="15" hidden="false" customHeight="false" outlineLevel="0" collapsed="false">
      <c r="A65" s="22" t="s">
        <v>45</v>
      </c>
      <c r="B65" s="22" t="s">
        <v>111</v>
      </c>
      <c r="C65" s="22" t="s">
        <v>72</v>
      </c>
      <c r="D65" s="22" t="s">
        <v>93</v>
      </c>
      <c r="E65" s="23" t="s">
        <v>94</v>
      </c>
      <c r="F65" s="23" t="n">
        <v>4</v>
      </c>
      <c r="G65" s="25" t="n">
        <v>0.244313411578253</v>
      </c>
      <c r="H65" s="25" t="n">
        <v>0.07083672658827</v>
      </c>
      <c r="I65" s="25" t="n">
        <v>0.0536613848764568</v>
      </c>
      <c r="J65" s="24" t="n">
        <v>0.940310956922995</v>
      </c>
      <c r="K65" s="30" t="n">
        <v>15.1833986081478</v>
      </c>
      <c r="L65" s="25" t="n">
        <v>0.247327985192488</v>
      </c>
      <c r="M65" s="23" t="n">
        <v>24</v>
      </c>
      <c r="N65" s="23" t="n">
        <v>25</v>
      </c>
      <c r="O65" s="23" t="n">
        <v>5</v>
      </c>
      <c r="P65" s="23" t="n">
        <v>799</v>
      </c>
      <c r="Q65" s="23" t="n">
        <v>299</v>
      </c>
      <c r="R65" s="27" t="str">
        <f aca="false">IF(G65=_xlfn.MINIFS($G$2:$G$361,$A$2:$A$361,$A65),"BEST","")</f>
        <v/>
      </c>
    </row>
    <row r="66" customFormat="false" ht="15" hidden="false" customHeight="false" outlineLevel="0" collapsed="false">
      <c r="A66" s="16" t="s">
        <v>45</v>
      </c>
      <c r="B66" s="16" t="s">
        <v>112</v>
      </c>
      <c r="C66" s="16" t="s">
        <v>68</v>
      </c>
      <c r="D66" s="16" t="s">
        <v>98</v>
      </c>
      <c r="E66" s="17" t="s">
        <v>99</v>
      </c>
      <c r="F66" s="17" t="n">
        <v>0</v>
      </c>
      <c r="G66" s="19" t="n">
        <v>0.247230510177059</v>
      </c>
      <c r="H66" s="19" t="n">
        <v>0.0716825160786617</v>
      </c>
      <c r="I66" s="19" t="n">
        <v>0.0657201822283149</v>
      </c>
      <c r="J66" s="18" t="n">
        <v>0.938877074837591</v>
      </c>
      <c r="K66" s="29" t="n">
        <v>19.2123635523999</v>
      </c>
      <c r="L66" s="19" t="n">
        <v>0.100652743146651</v>
      </c>
      <c r="M66" s="17" t="n">
        <v>4</v>
      </c>
      <c r="N66" s="17"/>
      <c r="O66" s="17" t="n">
        <v>4</v>
      </c>
      <c r="P66" s="17" t="n">
        <v>799</v>
      </c>
      <c r="Q66" s="17" t="n">
        <v>299</v>
      </c>
      <c r="R66" s="27" t="str">
        <f aca="false">IF(G66=_xlfn.MINIFS($G$2:$G$361,$A$2:$A$361,$A66),"BEST","")</f>
        <v/>
      </c>
    </row>
    <row r="67" customFormat="false" ht="15" hidden="false" customHeight="false" outlineLevel="0" collapsed="false">
      <c r="A67" s="16" t="s">
        <v>45</v>
      </c>
      <c r="B67" s="16" t="s">
        <v>112</v>
      </c>
      <c r="C67" s="16" t="s">
        <v>68</v>
      </c>
      <c r="D67" s="16" t="s">
        <v>98</v>
      </c>
      <c r="E67" s="17" t="s">
        <v>99</v>
      </c>
      <c r="F67" s="17" t="n">
        <v>1</v>
      </c>
      <c r="G67" s="19" t="n">
        <v>0.247230510177059</v>
      </c>
      <c r="H67" s="19" t="n">
        <v>0.0716825160786617</v>
      </c>
      <c r="I67" s="19" t="n">
        <v>0.0657201822283149</v>
      </c>
      <c r="J67" s="18" t="n">
        <v>0.938877074837591</v>
      </c>
      <c r="K67" s="29" t="n">
        <v>19.2123635523999</v>
      </c>
      <c r="L67" s="19" t="n">
        <v>0.100652743146651</v>
      </c>
      <c r="M67" s="17" t="n">
        <v>4</v>
      </c>
      <c r="N67" s="17"/>
      <c r="O67" s="17" t="n">
        <v>4</v>
      </c>
      <c r="P67" s="17" t="n">
        <v>799</v>
      </c>
      <c r="Q67" s="17" t="n">
        <v>299</v>
      </c>
      <c r="R67" s="27" t="str">
        <f aca="false">IF(G67=_xlfn.MINIFS($G$2:$G$361,$A$2:$A$361,$A67),"BEST","")</f>
        <v/>
      </c>
    </row>
    <row r="68" customFormat="false" ht="15" hidden="false" customHeight="false" outlineLevel="0" collapsed="false">
      <c r="A68" s="16" t="s">
        <v>45</v>
      </c>
      <c r="B68" s="16" t="s">
        <v>112</v>
      </c>
      <c r="C68" s="16" t="s">
        <v>68</v>
      </c>
      <c r="D68" s="16" t="s">
        <v>98</v>
      </c>
      <c r="E68" s="17" t="s">
        <v>99</v>
      </c>
      <c r="F68" s="17" t="n">
        <v>2</v>
      </c>
      <c r="G68" s="19" t="n">
        <v>0.247230510177059</v>
      </c>
      <c r="H68" s="19" t="n">
        <v>0.0716825160786617</v>
      </c>
      <c r="I68" s="19" t="n">
        <v>0.0657201822283149</v>
      </c>
      <c r="J68" s="18" t="n">
        <v>0.938877074837591</v>
      </c>
      <c r="K68" s="29" t="n">
        <v>19.2123635523999</v>
      </c>
      <c r="L68" s="19" t="n">
        <v>0.100652743146651</v>
      </c>
      <c r="M68" s="17" t="n">
        <v>4</v>
      </c>
      <c r="N68" s="17"/>
      <c r="O68" s="17" t="n">
        <v>4</v>
      </c>
      <c r="P68" s="17" t="n">
        <v>799</v>
      </c>
      <c r="Q68" s="17" t="n">
        <v>299</v>
      </c>
      <c r="R68" s="27" t="str">
        <f aca="false">IF(G68=_xlfn.MINIFS($G$2:$G$361,$A$2:$A$361,$A68),"BEST","")</f>
        <v/>
      </c>
    </row>
    <row r="69" customFormat="false" ht="15" hidden="false" customHeight="false" outlineLevel="0" collapsed="false">
      <c r="A69" s="16" t="s">
        <v>45</v>
      </c>
      <c r="B69" s="16" t="s">
        <v>112</v>
      </c>
      <c r="C69" s="16" t="s">
        <v>68</v>
      </c>
      <c r="D69" s="16" t="s">
        <v>98</v>
      </c>
      <c r="E69" s="17" t="s">
        <v>99</v>
      </c>
      <c r="F69" s="17" t="n">
        <v>3</v>
      </c>
      <c r="G69" s="19" t="n">
        <v>0.247230510177059</v>
      </c>
      <c r="H69" s="19" t="n">
        <v>0.0716825160786617</v>
      </c>
      <c r="I69" s="19" t="n">
        <v>0.0657201822283149</v>
      </c>
      <c r="J69" s="18" t="n">
        <v>0.938877074837591</v>
      </c>
      <c r="K69" s="29" t="n">
        <v>19.2123635523999</v>
      </c>
      <c r="L69" s="19" t="n">
        <v>0.100652743146651</v>
      </c>
      <c r="M69" s="17" t="n">
        <v>4</v>
      </c>
      <c r="N69" s="17"/>
      <c r="O69" s="17" t="n">
        <v>4</v>
      </c>
      <c r="P69" s="17" t="n">
        <v>799</v>
      </c>
      <c r="Q69" s="17" t="n">
        <v>299</v>
      </c>
      <c r="R69" s="27" t="str">
        <f aca="false">IF(G69=_xlfn.MINIFS($G$2:$G$361,$A$2:$A$361,$A69),"BEST","")</f>
        <v/>
      </c>
    </row>
    <row r="70" customFormat="false" ht="15" hidden="false" customHeight="false" outlineLevel="0" collapsed="false">
      <c r="A70" s="16" t="s">
        <v>45</v>
      </c>
      <c r="B70" s="16" t="s">
        <v>112</v>
      </c>
      <c r="C70" s="16" t="s">
        <v>68</v>
      </c>
      <c r="D70" s="16" t="s">
        <v>98</v>
      </c>
      <c r="E70" s="17" t="s">
        <v>99</v>
      </c>
      <c r="F70" s="17" t="n">
        <v>4</v>
      </c>
      <c r="G70" s="19" t="n">
        <v>0.247230510177059</v>
      </c>
      <c r="H70" s="19" t="n">
        <v>0.0716825160786617</v>
      </c>
      <c r="I70" s="19" t="n">
        <v>0.0657201822283149</v>
      </c>
      <c r="J70" s="18" t="n">
        <v>0.938877074837591</v>
      </c>
      <c r="K70" s="29" t="n">
        <v>19.2123635523999</v>
      </c>
      <c r="L70" s="19" t="n">
        <v>0.100652743146651</v>
      </c>
      <c r="M70" s="17" t="n">
        <v>4</v>
      </c>
      <c r="N70" s="17"/>
      <c r="O70" s="17" t="n">
        <v>4</v>
      </c>
      <c r="P70" s="17" t="n">
        <v>799</v>
      </c>
      <c r="Q70" s="17" t="n">
        <v>299</v>
      </c>
      <c r="R70" s="27" t="str">
        <f aca="false">IF(G70=_xlfn.MINIFS($G$2:$G$361,$A$2:$A$361,$A70),"BEST","")</f>
        <v/>
      </c>
    </row>
    <row r="71" customFormat="false" ht="15" hidden="false" customHeight="false" outlineLevel="0" collapsed="false">
      <c r="A71" s="22" t="s">
        <v>45</v>
      </c>
      <c r="B71" s="22" t="s">
        <v>111</v>
      </c>
      <c r="C71" s="22" t="s">
        <v>72</v>
      </c>
      <c r="D71" s="22" t="s">
        <v>93</v>
      </c>
      <c r="E71" s="23" t="s">
        <v>94</v>
      </c>
      <c r="F71" s="23" t="n">
        <v>2</v>
      </c>
      <c r="G71" s="25" t="n">
        <v>0.261513559659872</v>
      </c>
      <c r="H71" s="25" t="n">
        <v>0.0758237724449201</v>
      </c>
      <c r="I71" s="25" t="n">
        <v>0.0579943372974208</v>
      </c>
      <c r="J71" s="24" t="n">
        <v>0.931610658114023</v>
      </c>
      <c r="K71" s="30" t="n">
        <v>16.3282901336017</v>
      </c>
      <c r="L71" s="25" t="n">
        <v>0.238828444880535</v>
      </c>
      <c r="M71" s="23" t="n">
        <v>24</v>
      </c>
      <c r="N71" s="23" t="n">
        <v>25</v>
      </c>
      <c r="O71" s="23" t="n">
        <v>5</v>
      </c>
      <c r="P71" s="23" t="n">
        <v>799</v>
      </c>
      <c r="Q71" s="23" t="n">
        <v>299</v>
      </c>
      <c r="R71" s="27" t="str">
        <f aca="false">IF(G71=_xlfn.MINIFS($G$2:$G$361,$A$2:$A$361,$A71),"BEST","")</f>
        <v/>
      </c>
    </row>
    <row r="72" customFormat="false" ht="15" hidden="false" customHeight="false" outlineLevel="0" collapsed="false">
      <c r="A72" s="16" t="s">
        <v>45</v>
      </c>
      <c r="B72" s="16" t="s">
        <v>110</v>
      </c>
      <c r="C72" s="16" t="s">
        <v>68</v>
      </c>
      <c r="D72" s="16" t="s">
        <v>107</v>
      </c>
      <c r="E72" s="17" t="s">
        <v>108</v>
      </c>
      <c r="F72" s="17" t="n">
        <v>4</v>
      </c>
      <c r="G72" s="19" t="n">
        <v>0.270017541650878</v>
      </c>
      <c r="H72" s="19" t="n">
        <v>0.0782894342492273</v>
      </c>
      <c r="I72" s="19" t="n">
        <v>0.063136417297861</v>
      </c>
      <c r="J72" s="18" t="n">
        <v>0.927090527200816</v>
      </c>
      <c r="K72" s="29" t="n">
        <v>19.269897131221</v>
      </c>
      <c r="L72" s="19" t="n">
        <v>0.254139911911696</v>
      </c>
      <c r="M72" s="17" t="n">
        <v>8</v>
      </c>
      <c r="N72" s="17" t="n">
        <v>12673</v>
      </c>
      <c r="O72" s="17" t="n">
        <v>8</v>
      </c>
      <c r="P72" s="17" t="n">
        <v>640</v>
      </c>
      <c r="Q72" s="17" t="n">
        <v>299</v>
      </c>
      <c r="R72" s="27" t="str">
        <f aca="false">IF(G72=_xlfn.MINIFS($G$2:$G$361,$A$2:$A$361,$A72),"BEST","")</f>
        <v/>
      </c>
    </row>
    <row r="73" customFormat="false" ht="15" hidden="false" customHeight="false" outlineLevel="0" collapsed="false">
      <c r="A73" s="22" t="s">
        <v>45</v>
      </c>
      <c r="B73" s="22" t="s">
        <v>111</v>
      </c>
      <c r="C73" s="22" t="s">
        <v>72</v>
      </c>
      <c r="D73" s="22" t="s">
        <v>93</v>
      </c>
      <c r="E73" s="23" t="s">
        <v>94</v>
      </c>
      <c r="F73" s="23" t="n">
        <v>0</v>
      </c>
      <c r="G73" s="25" t="n">
        <v>0.282575257568866</v>
      </c>
      <c r="H73" s="25" t="n">
        <v>0.0819304438987149</v>
      </c>
      <c r="I73" s="25" t="n">
        <v>0.0611543264500933</v>
      </c>
      <c r="J73" s="24" t="n">
        <v>0.920151223809889</v>
      </c>
      <c r="K73" s="30" t="n">
        <v>16.8073122841068</v>
      </c>
      <c r="L73" s="25" t="n">
        <v>0.301720265687297</v>
      </c>
      <c r="M73" s="23" t="n">
        <v>24</v>
      </c>
      <c r="N73" s="23" t="n">
        <v>25</v>
      </c>
      <c r="O73" s="23" t="n">
        <v>5</v>
      </c>
      <c r="P73" s="23" t="n">
        <v>799</v>
      </c>
      <c r="Q73" s="23" t="n">
        <v>299</v>
      </c>
      <c r="R73" s="27" t="str">
        <f aca="false">IF(G73=_xlfn.MINIFS($G$2:$G$361,$A$2:$A$361,$A73),"BEST","")</f>
        <v/>
      </c>
    </row>
    <row r="74" customFormat="false" ht="15" hidden="false" customHeight="false" outlineLevel="0" collapsed="false">
      <c r="A74" s="16" t="s">
        <v>45</v>
      </c>
      <c r="B74" s="16" t="s">
        <v>106</v>
      </c>
      <c r="C74" s="16" t="s">
        <v>68</v>
      </c>
      <c r="D74" s="16" t="s">
        <v>107</v>
      </c>
      <c r="E74" s="17" t="s">
        <v>108</v>
      </c>
      <c r="F74" s="17" t="n">
        <v>1</v>
      </c>
      <c r="G74" s="19" t="n">
        <v>0.287235255471134</v>
      </c>
      <c r="H74" s="19" t="n">
        <v>0.083281573151802</v>
      </c>
      <c r="I74" s="19" t="n">
        <v>0.0733271647329084</v>
      </c>
      <c r="J74" s="18" t="n">
        <v>0.917495908014432</v>
      </c>
      <c r="K74" s="29" t="n">
        <v>20.1689946580489</v>
      </c>
      <c r="L74" s="19" t="n">
        <v>0.189252388260573</v>
      </c>
      <c r="M74" s="17" t="n">
        <v>8</v>
      </c>
      <c r="N74" s="17" t="n">
        <v>8897</v>
      </c>
      <c r="O74" s="17" t="n">
        <v>8</v>
      </c>
      <c r="P74" s="17" t="n">
        <v>640</v>
      </c>
      <c r="Q74" s="17" t="n">
        <v>299</v>
      </c>
      <c r="R74" s="27" t="str">
        <f aca="false">IF(G74=_xlfn.MINIFS($G$2:$G$361,$A$2:$A$361,$A74),"BEST","")</f>
        <v/>
      </c>
    </row>
    <row r="75" customFormat="false" ht="15" hidden="false" customHeight="false" outlineLevel="0" collapsed="false">
      <c r="A75" s="22" t="s">
        <v>45</v>
      </c>
      <c r="B75" s="22" t="s">
        <v>113</v>
      </c>
      <c r="C75" s="22" t="s">
        <v>72</v>
      </c>
      <c r="D75" s="22" t="s">
        <v>93</v>
      </c>
      <c r="E75" s="23" t="s">
        <v>114</v>
      </c>
      <c r="F75" s="23" t="n">
        <v>0</v>
      </c>
      <c r="G75" s="25" t="n">
        <v>0.295812913530432</v>
      </c>
      <c r="H75" s="25" t="n">
        <v>0.085768596744936</v>
      </c>
      <c r="I75" s="25" t="n">
        <v>0.0625550594806192</v>
      </c>
      <c r="J75" s="24" t="n">
        <v>0.912494720188637</v>
      </c>
      <c r="K75" s="30" t="n">
        <v>20.9701634710791</v>
      </c>
      <c r="L75" s="25" t="n">
        <v>0.47821671098287</v>
      </c>
      <c r="M75" s="23" t="n">
        <v>11</v>
      </c>
      <c r="N75" s="23" t="n">
        <v>12</v>
      </c>
      <c r="O75" s="23" t="n">
        <v>3</v>
      </c>
      <c r="P75" s="23" t="n">
        <v>799</v>
      </c>
      <c r="Q75" s="23" t="n">
        <v>299</v>
      </c>
      <c r="R75" s="27" t="str">
        <f aca="false">IF(G75=_xlfn.MINIFS($G$2:$G$361,$A$2:$A$361,$A75),"BEST","")</f>
        <v/>
      </c>
    </row>
    <row r="76" customFormat="false" ht="15" hidden="false" customHeight="false" outlineLevel="0" collapsed="false">
      <c r="A76" s="22" t="s">
        <v>45</v>
      </c>
      <c r="B76" s="22" t="s">
        <v>113</v>
      </c>
      <c r="C76" s="22" t="s">
        <v>72</v>
      </c>
      <c r="D76" s="22" t="s">
        <v>93</v>
      </c>
      <c r="E76" s="23" t="s">
        <v>114</v>
      </c>
      <c r="F76" s="23" t="n">
        <v>1</v>
      </c>
      <c r="G76" s="25" t="n">
        <v>0.295812913530432</v>
      </c>
      <c r="H76" s="25" t="n">
        <v>0.085768596744936</v>
      </c>
      <c r="I76" s="25" t="n">
        <v>0.0625550594806192</v>
      </c>
      <c r="J76" s="24" t="n">
        <v>0.912494720188637</v>
      </c>
      <c r="K76" s="30" t="n">
        <v>20.9701634710791</v>
      </c>
      <c r="L76" s="25" t="n">
        <v>0.47821671098287</v>
      </c>
      <c r="M76" s="23" t="n">
        <v>11</v>
      </c>
      <c r="N76" s="23" t="n">
        <v>12</v>
      </c>
      <c r="O76" s="23" t="n">
        <v>3</v>
      </c>
      <c r="P76" s="23" t="n">
        <v>799</v>
      </c>
      <c r="Q76" s="23" t="n">
        <v>299</v>
      </c>
      <c r="R76" s="27" t="str">
        <f aca="false">IF(G76=_xlfn.MINIFS($G$2:$G$361,$A$2:$A$361,$A76),"BEST","")</f>
        <v/>
      </c>
    </row>
    <row r="77" customFormat="false" ht="15" hidden="false" customHeight="false" outlineLevel="0" collapsed="false">
      <c r="A77" s="22" t="s">
        <v>45</v>
      </c>
      <c r="B77" s="22" t="s">
        <v>113</v>
      </c>
      <c r="C77" s="22" t="s">
        <v>72</v>
      </c>
      <c r="D77" s="22" t="s">
        <v>93</v>
      </c>
      <c r="E77" s="23" t="s">
        <v>114</v>
      </c>
      <c r="F77" s="23" t="n">
        <v>2</v>
      </c>
      <c r="G77" s="25" t="n">
        <v>0.295812913530432</v>
      </c>
      <c r="H77" s="25" t="n">
        <v>0.085768596744936</v>
      </c>
      <c r="I77" s="25" t="n">
        <v>0.0625550594806192</v>
      </c>
      <c r="J77" s="24" t="n">
        <v>0.912494720188637</v>
      </c>
      <c r="K77" s="30" t="n">
        <v>20.9701634710791</v>
      </c>
      <c r="L77" s="25" t="n">
        <v>0.47821671098287</v>
      </c>
      <c r="M77" s="23" t="n">
        <v>11</v>
      </c>
      <c r="N77" s="23" t="n">
        <v>12</v>
      </c>
      <c r="O77" s="23" t="n">
        <v>3</v>
      </c>
      <c r="P77" s="23" t="n">
        <v>799</v>
      </c>
      <c r="Q77" s="23" t="n">
        <v>299</v>
      </c>
      <c r="R77" s="27" t="str">
        <f aca="false">IF(G77=_xlfn.MINIFS($G$2:$G$361,$A$2:$A$361,$A77),"BEST","")</f>
        <v/>
      </c>
    </row>
    <row r="78" customFormat="false" ht="15" hidden="false" customHeight="false" outlineLevel="0" collapsed="false">
      <c r="A78" s="22" t="s">
        <v>45</v>
      </c>
      <c r="B78" s="22" t="s">
        <v>113</v>
      </c>
      <c r="C78" s="22" t="s">
        <v>72</v>
      </c>
      <c r="D78" s="22" t="s">
        <v>93</v>
      </c>
      <c r="E78" s="23" t="s">
        <v>114</v>
      </c>
      <c r="F78" s="23" t="n">
        <v>3</v>
      </c>
      <c r="G78" s="25" t="n">
        <v>0.295812913530432</v>
      </c>
      <c r="H78" s="25" t="n">
        <v>0.085768596744936</v>
      </c>
      <c r="I78" s="25" t="n">
        <v>0.0625550594806192</v>
      </c>
      <c r="J78" s="24" t="n">
        <v>0.912494720188637</v>
      </c>
      <c r="K78" s="30" t="n">
        <v>20.9701634710791</v>
      </c>
      <c r="L78" s="25" t="n">
        <v>0.47821671098287</v>
      </c>
      <c r="M78" s="23" t="n">
        <v>11</v>
      </c>
      <c r="N78" s="23" t="n">
        <v>12</v>
      </c>
      <c r="O78" s="23" t="n">
        <v>3</v>
      </c>
      <c r="P78" s="23" t="n">
        <v>799</v>
      </c>
      <c r="Q78" s="23" t="n">
        <v>299</v>
      </c>
      <c r="R78" s="27" t="str">
        <f aca="false">IF(G78=_xlfn.MINIFS($G$2:$G$361,$A$2:$A$361,$A78),"BEST","")</f>
        <v/>
      </c>
    </row>
    <row r="79" customFormat="false" ht="15" hidden="false" customHeight="false" outlineLevel="0" collapsed="false">
      <c r="A79" s="22" t="s">
        <v>45</v>
      </c>
      <c r="B79" s="22" t="s">
        <v>113</v>
      </c>
      <c r="C79" s="22" t="s">
        <v>72</v>
      </c>
      <c r="D79" s="22" t="s">
        <v>93</v>
      </c>
      <c r="E79" s="23" t="s">
        <v>114</v>
      </c>
      <c r="F79" s="23" t="n">
        <v>4</v>
      </c>
      <c r="G79" s="25" t="n">
        <v>0.295812913530432</v>
      </c>
      <c r="H79" s="25" t="n">
        <v>0.085768596744936</v>
      </c>
      <c r="I79" s="25" t="n">
        <v>0.0625550594806192</v>
      </c>
      <c r="J79" s="24" t="n">
        <v>0.912494720188637</v>
      </c>
      <c r="K79" s="30" t="n">
        <v>20.9701634710791</v>
      </c>
      <c r="L79" s="25" t="n">
        <v>0.47821671098287</v>
      </c>
      <c r="M79" s="23" t="n">
        <v>11</v>
      </c>
      <c r="N79" s="23" t="n">
        <v>12</v>
      </c>
      <c r="O79" s="23" t="n">
        <v>3</v>
      </c>
      <c r="P79" s="23" t="n">
        <v>799</v>
      </c>
      <c r="Q79" s="23" t="n">
        <v>299</v>
      </c>
      <c r="R79" s="27" t="str">
        <f aca="false">IF(G79=_xlfn.MINIFS($G$2:$G$361,$A$2:$A$361,$A79),"BEST","")</f>
        <v/>
      </c>
    </row>
    <row r="80" customFormat="false" ht="15" hidden="false" customHeight="false" outlineLevel="0" collapsed="false">
      <c r="A80" s="22" t="s">
        <v>45</v>
      </c>
      <c r="B80" s="22" t="s">
        <v>111</v>
      </c>
      <c r="C80" s="22" t="s">
        <v>72</v>
      </c>
      <c r="D80" s="22" t="s">
        <v>93</v>
      </c>
      <c r="E80" s="23" t="s">
        <v>94</v>
      </c>
      <c r="F80" s="23" t="n">
        <v>1</v>
      </c>
      <c r="G80" s="25" t="n">
        <v>0.322734716644833</v>
      </c>
      <c r="H80" s="25" t="n">
        <v>0.093574358999896</v>
      </c>
      <c r="I80" s="25" t="n">
        <v>0.0676508355290607</v>
      </c>
      <c r="J80" s="24" t="n">
        <v>0.895842302672179</v>
      </c>
      <c r="K80" s="30" t="n">
        <v>18.3628929091165</v>
      </c>
      <c r="L80" s="25" t="n">
        <v>0.313547055037134</v>
      </c>
      <c r="M80" s="23" t="n">
        <v>24</v>
      </c>
      <c r="N80" s="23" t="n">
        <v>25</v>
      </c>
      <c r="O80" s="23" t="n">
        <v>5</v>
      </c>
      <c r="P80" s="23" t="n">
        <v>799</v>
      </c>
      <c r="Q80" s="23" t="n">
        <v>299</v>
      </c>
      <c r="R80" s="27" t="str">
        <f aca="false">IF(G80=_xlfn.MINIFS($G$2:$G$361,$A$2:$A$361,$A80),"BEST","")</f>
        <v/>
      </c>
    </row>
    <row r="81" customFormat="false" ht="15" hidden="false" customHeight="false" outlineLevel="0" collapsed="false">
      <c r="A81" s="16" t="s">
        <v>45</v>
      </c>
      <c r="B81" s="16" t="s">
        <v>110</v>
      </c>
      <c r="C81" s="16" t="s">
        <v>68</v>
      </c>
      <c r="D81" s="16" t="s">
        <v>107</v>
      </c>
      <c r="E81" s="17" t="s">
        <v>108</v>
      </c>
      <c r="F81" s="17" t="n">
        <v>3</v>
      </c>
      <c r="G81" s="19" t="n">
        <v>0.448030812802836</v>
      </c>
      <c r="H81" s="19" t="n">
        <v>0.129902963511561</v>
      </c>
      <c r="I81" s="19" t="n">
        <v>0.104835982631337</v>
      </c>
      <c r="J81" s="18" t="n">
        <v>0.79926839077923</v>
      </c>
      <c r="K81" s="29" t="n">
        <v>28.9109958986062</v>
      </c>
      <c r="L81" s="19" t="n">
        <v>0.366869570515461</v>
      </c>
      <c r="M81" s="17" t="n">
        <v>8</v>
      </c>
      <c r="N81" s="17" t="n">
        <v>12673</v>
      </c>
      <c r="O81" s="17" t="n">
        <v>8</v>
      </c>
      <c r="P81" s="17" t="n">
        <v>640</v>
      </c>
      <c r="Q81" s="17" t="n">
        <v>299</v>
      </c>
      <c r="R81" s="27" t="str">
        <f aca="false">IF(G81=_xlfn.MINIFS($G$2:$G$361,$A$2:$A$361,$A81),"BEST","")</f>
        <v/>
      </c>
    </row>
    <row r="82" customFormat="false" ht="15" hidden="false" customHeight="false" outlineLevel="0" collapsed="false">
      <c r="A82" s="16" t="s">
        <v>45</v>
      </c>
      <c r="B82" s="16" t="s">
        <v>115</v>
      </c>
      <c r="C82" s="16" t="s">
        <v>68</v>
      </c>
      <c r="D82" s="16" t="s">
        <v>107</v>
      </c>
      <c r="E82" s="17" t="s">
        <v>108</v>
      </c>
      <c r="F82" s="17" t="n">
        <v>0</v>
      </c>
      <c r="G82" s="19" t="n">
        <v>0.449494809723975</v>
      </c>
      <c r="H82" s="19" t="n">
        <v>0.130327437751264</v>
      </c>
      <c r="I82" s="19" t="n">
        <v>0.104536679263042</v>
      </c>
      <c r="J82" s="18" t="n">
        <v>0.797954416031207</v>
      </c>
      <c r="K82" s="29" t="n">
        <v>26.9684507476648</v>
      </c>
      <c r="L82" s="19" t="n">
        <v>0.4482088413735</v>
      </c>
      <c r="M82" s="17" t="n">
        <v>8</v>
      </c>
      <c r="N82" s="17" t="n">
        <v>12929</v>
      </c>
      <c r="O82" s="17" t="n">
        <v>8</v>
      </c>
      <c r="P82" s="17" t="n">
        <v>640</v>
      </c>
      <c r="Q82" s="17" t="n">
        <v>299</v>
      </c>
      <c r="R82" s="27" t="str">
        <f aca="false">IF(G82=_xlfn.MINIFS($G$2:$G$361,$A$2:$A$361,$A82),"BEST","")</f>
        <v/>
      </c>
    </row>
    <row r="83" customFormat="false" ht="15" hidden="false" customHeight="false" outlineLevel="0" collapsed="false">
      <c r="A83" s="16" t="s">
        <v>45</v>
      </c>
      <c r="B83" s="16" t="s">
        <v>115</v>
      </c>
      <c r="C83" s="16" t="s">
        <v>68</v>
      </c>
      <c r="D83" s="16" t="s">
        <v>107</v>
      </c>
      <c r="E83" s="17" t="s">
        <v>108</v>
      </c>
      <c r="F83" s="17" t="n">
        <v>1</v>
      </c>
      <c r="G83" s="19" t="n">
        <v>0.466688350487451</v>
      </c>
      <c r="H83" s="19" t="n">
        <v>0.135312567868677</v>
      </c>
      <c r="I83" s="19" t="n">
        <v>0.107517911781647</v>
      </c>
      <c r="J83" s="18" t="n">
        <v>0.782201983519302</v>
      </c>
      <c r="K83" s="29" t="n">
        <v>28.0482182381452</v>
      </c>
      <c r="L83" s="19" t="n">
        <v>0.495373996784267</v>
      </c>
      <c r="M83" s="17" t="n">
        <v>8</v>
      </c>
      <c r="N83" s="17" t="n">
        <v>12929</v>
      </c>
      <c r="O83" s="17" t="n">
        <v>8</v>
      </c>
      <c r="P83" s="17" t="n">
        <v>640</v>
      </c>
      <c r="Q83" s="17" t="n">
        <v>299</v>
      </c>
      <c r="R83" s="27" t="str">
        <f aca="false">IF(G83=_xlfn.MINIFS($G$2:$G$361,$A$2:$A$361,$A83),"BEST","")</f>
        <v/>
      </c>
    </row>
    <row r="84" customFormat="false" ht="15" hidden="false" customHeight="false" outlineLevel="0" collapsed="false">
      <c r="A84" s="22" t="s">
        <v>45</v>
      </c>
      <c r="B84" s="22" t="s">
        <v>116</v>
      </c>
      <c r="C84" s="22" t="s">
        <v>72</v>
      </c>
      <c r="D84" s="22" t="s">
        <v>93</v>
      </c>
      <c r="E84" s="23" t="s">
        <v>94</v>
      </c>
      <c r="F84" s="23" t="n">
        <v>4</v>
      </c>
      <c r="G84" s="25" t="n">
        <v>0.472180222196905</v>
      </c>
      <c r="H84" s="25" t="n">
        <v>0.136904892302392</v>
      </c>
      <c r="I84" s="25" t="n">
        <v>0.108021334646508</v>
      </c>
      <c r="J84" s="24" t="n">
        <v>0.777045837766082</v>
      </c>
      <c r="K84" s="30" t="n">
        <v>27.0199038672466</v>
      </c>
      <c r="L84" s="25" t="n">
        <v>0.416021063885599</v>
      </c>
      <c r="M84" s="23" t="n">
        <v>16</v>
      </c>
      <c r="N84" s="23" t="n">
        <v>17</v>
      </c>
      <c r="O84" s="23" t="n">
        <v>5</v>
      </c>
      <c r="P84" s="23" t="n">
        <v>799</v>
      </c>
      <c r="Q84" s="23" t="n">
        <v>299</v>
      </c>
      <c r="R84" s="27" t="str">
        <f aca="false">IF(G84=_xlfn.MINIFS($G$2:$G$361,$A$2:$A$361,$A84),"BEST","")</f>
        <v/>
      </c>
    </row>
    <row r="85" customFormat="false" ht="15" hidden="false" customHeight="false" outlineLevel="0" collapsed="false">
      <c r="A85" s="16" t="s">
        <v>45</v>
      </c>
      <c r="B85" s="16" t="s">
        <v>115</v>
      </c>
      <c r="C85" s="16" t="s">
        <v>68</v>
      </c>
      <c r="D85" s="16" t="s">
        <v>107</v>
      </c>
      <c r="E85" s="17" t="s">
        <v>108</v>
      </c>
      <c r="F85" s="17" t="n">
        <v>3</v>
      </c>
      <c r="G85" s="19" t="n">
        <v>0.528460709650832</v>
      </c>
      <c r="H85" s="19" t="n">
        <v>0.153222971102382</v>
      </c>
      <c r="I85" s="19" t="n">
        <v>0.127222795448653</v>
      </c>
      <c r="J85" s="18" t="n">
        <v>0.720729278355339</v>
      </c>
      <c r="K85" s="29" t="n">
        <v>31.5799639199738</v>
      </c>
      <c r="L85" s="19" t="n">
        <v>0.472482952167568</v>
      </c>
      <c r="M85" s="17" t="n">
        <v>8</v>
      </c>
      <c r="N85" s="17" t="n">
        <v>12929</v>
      </c>
      <c r="O85" s="17" t="n">
        <v>8</v>
      </c>
      <c r="P85" s="17" t="n">
        <v>640</v>
      </c>
      <c r="Q85" s="17" t="n">
        <v>299</v>
      </c>
      <c r="R85" s="27" t="str">
        <f aca="false">IF(G85=_xlfn.MINIFS($G$2:$G$361,$A$2:$A$361,$A85),"BEST","")</f>
        <v/>
      </c>
    </row>
    <row r="86" customFormat="false" ht="15" hidden="false" customHeight="false" outlineLevel="0" collapsed="false">
      <c r="A86" s="22" t="s">
        <v>45</v>
      </c>
      <c r="B86" s="22" t="s">
        <v>116</v>
      </c>
      <c r="C86" s="22" t="s">
        <v>72</v>
      </c>
      <c r="D86" s="22" t="s">
        <v>93</v>
      </c>
      <c r="E86" s="23" t="s">
        <v>94</v>
      </c>
      <c r="F86" s="23" t="n">
        <v>1</v>
      </c>
      <c r="G86" s="25" t="n">
        <v>0.549148330346071</v>
      </c>
      <c r="H86" s="25" t="n">
        <v>0.159221181849323</v>
      </c>
      <c r="I86" s="25" t="n">
        <v>0.130262990502203</v>
      </c>
      <c r="J86" s="24" t="n">
        <v>0.698436111278123</v>
      </c>
      <c r="K86" s="30" t="n">
        <v>36.9238277107063</v>
      </c>
      <c r="L86" s="25" t="n">
        <v>0.443593485223923</v>
      </c>
      <c r="M86" s="23" t="n">
        <v>16</v>
      </c>
      <c r="N86" s="23" t="n">
        <v>17</v>
      </c>
      <c r="O86" s="23" t="n">
        <v>5</v>
      </c>
      <c r="P86" s="23" t="n">
        <v>799</v>
      </c>
      <c r="Q86" s="23" t="n">
        <v>299</v>
      </c>
      <c r="R86" s="27" t="str">
        <f aca="false">IF(G86=_xlfn.MINIFS($G$2:$G$361,$A$2:$A$361,$A86),"BEST","")</f>
        <v/>
      </c>
    </row>
    <row r="87" customFormat="false" ht="15" hidden="false" customHeight="false" outlineLevel="0" collapsed="false">
      <c r="A87" s="16" t="s">
        <v>45</v>
      </c>
      <c r="B87" s="16" t="s">
        <v>115</v>
      </c>
      <c r="C87" s="16" t="s">
        <v>68</v>
      </c>
      <c r="D87" s="16" t="s">
        <v>107</v>
      </c>
      <c r="E87" s="17" t="s">
        <v>108</v>
      </c>
      <c r="F87" s="17" t="n">
        <v>4</v>
      </c>
      <c r="G87" s="19" t="n">
        <v>0.565693380405657</v>
      </c>
      <c r="H87" s="19" t="n">
        <v>0.164018287255404</v>
      </c>
      <c r="I87" s="19" t="n">
        <v>0.136545913847008</v>
      </c>
      <c r="J87" s="18" t="n">
        <v>0.679990999365221</v>
      </c>
      <c r="K87" s="29" t="n">
        <v>33.2732598062147</v>
      </c>
      <c r="L87" s="19" t="n">
        <v>0.47863105206686</v>
      </c>
      <c r="M87" s="17" t="n">
        <v>8</v>
      </c>
      <c r="N87" s="17" t="n">
        <v>12929</v>
      </c>
      <c r="O87" s="17" t="n">
        <v>8</v>
      </c>
      <c r="P87" s="17" t="n">
        <v>640</v>
      </c>
      <c r="Q87" s="17" t="n">
        <v>299</v>
      </c>
      <c r="R87" s="27" t="str">
        <f aca="false">IF(G87=_xlfn.MINIFS($G$2:$G$361,$A$2:$A$361,$A87),"BEST","")</f>
        <v/>
      </c>
    </row>
    <row r="88" customFormat="false" ht="15" hidden="false" customHeight="false" outlineLevel="0" collapsed="false">
      <c r="A88" s="22" t="s">
        <v>45</v>
      </c>
      <c r="B88" s="22" t="s">
        <v>116</v>
      </c>
      <c r="C88" s="22" t="s">
        <v>72</v>
      </c>
      <c r="D88" s="22" t="s">
        <v>93</v>
      </c>
      <c r="E88" s="23" t="s">
        <v>94</v>
      </c>
      <c r="F88" s="23" t="n">
        <v>3</v>
      </c>
      <c r="G88" s="25" t="n">
        <v>0.578210944836577</v>
      </c>
      <c r="H88" s="25" t="n">
        <v>0.167647655301211</v>
      </c>
      <c r="I88" s="25" t="n">
        <v>0.143485413766716</v>
      </c>
      <c r="J88" s="24" t="n">
        <v>0.665672103271194</v>
      </c>
      <c r="K88" s="30" t="n">
        <v>34.2964196977744</v>
      </c>
      <c r="L88" s="25" t="n">
        <v>0.420173677670884</v>
      </c>
      <c r="M88" s="23" t="n">
        <v>16</v>
      </c>
      <c r="N88" s="23" t="n">
        <v>17</v>
      </c>
      <c r="O88" s="23" t="n">
        <v>5</v>
      </c>
      <c r="P88" s="23" t="n">
        <v>799</v>
      </c>
      <c r="Q88" s="23" t="n">
        <v>299</v>
      </c>
      <c r="R88" s="27" t="str">
        <f aca="false">IF(G88=_xlfn.MINIFS($G$2:$G$361,$A$2:$A$361,$A88),"BEST","")</f>
        <v/>
      </c>
    </row>
    <row r="89" customFormat="false" ht="15" hidden="false" customHeight="false" outlineLevel="0" collapsed="false">
      <c r="A89" s="22" t="s">
        <v>45</v>
      </c>
      <c r="B89" s="22" t="s">
        <v>116</v>
      </c>
      <c r="C89" s="22" t="s">
        <v>72</v>
      </c>
      <c r="D89" s="22" t="s">
        <v>93</v>
      </c>
      <c r="E89" s="23" t="s">
        <v>94</v>
      </c>
      <c r="F89" s="23" t="n">
        <v>0</v>
      </c>
      <c r="G89" s="25" t="n">
        <v>0.579080892464579</v>
      </c>
      <c r="H89" s="25" t="n">
        <v>0.167899889682749</v>
      </c>
      <c r="I89" s="25" t="n">
        <v>0.138914423083599</v>
      </c>
      <c r="J89" s="24" t="n">
        <v>0.664665319982427</v>
      </c>
      <c r="K89" s="30" t="n">
        <v>33.564358900037</v>
      </c>
      <c r="L89" s="25" t="n">
        <v>0.472707063141023</v>
      </c>
      <c r="M89" s="23" t="n">
        <v>16</v>
      </c>
      <c r="N89" s="23" t="n">
        <v>17</v>
      </c>
      <c r="O89" s="23" t="n">
        <v>5</v>
      </c>
      <c r="P89" s="23" t="n">
        <v>799</v>
      </c>
      <c r="Q89" s="23" t="n">
        <v>299</v>
      </c>
      <c r="R89" s="27" t="str">
        <f aca="false">IF(G89=_xlfn.MINIFS($G$2:$G$361,$A$2:$A$361,$A89),"BEST","")</f>
        <v/>
      </c>
    </row>
    <row r="90" customFormat="false" ht="15" hidden="false" customHeight="false" outlineLevel="0" collapsed="false">
      <c r="A90" s="22" t="s">
        <v>45</v>
      </c>
      <c r="B90" s="22" t="s">
        <v>116</v>
      </c>
      <c r="C90" s="22" t="s">
        <v>72</v>
      </c>
      <c r="D90" s="22" t="s">
        <v>93</v>
      </c>
      <c r="E90" s="23" t="s">
        <v>94</v>
      </c>
      <c r="F90" s="23" t="n">
        <v>2</v>
      </c>
      <c r="G90" s="25" t="n">
        <v>0.64129756259303</v>
      </c>
      <c r="H90" s="25" t="n">
        <v>0.185939117339762</v>
      </c>
      <c r="I90" s="25" t="n">
        <v>0.159211560311572</v>
      </c>
      <c r="J90" s="24" t="n">
        <v>0.588737436212238</v>
      </c>
      <c r="K90" s="30" t="n">
        <v>37.571677836771</v>
      </c>
      <c r="L90" s="25" t="n">
        <v>0.500384227925247</v>
      </c>
      <c r="M90" s="23" t="n">
        <v>16</v>
      </c>
      <c r="N90" s="23" t="n">
        <v>17</v>
      </c>
      <c r="O90" s="23" t="n">
        <v>5</v>
      </c>
      <c r="P90" s="23" t="n">
        <v>799</v>
      </c>
      <c r="Q90" s="23" t="n">
        <v>299</v>
      </c>
      <c r="R90" s="27" t="str">
        <f aca="false">IF(G90=_xlfn.MINIFS($G$2:$G$361,$A$2:$A$361,$A90),"BEST","")</f>
        <v/>
      </c>
    </row>
    <row r="91" customFormat="false" ht="15" hidden="false" customHeight="false" outlineLevel="0" collapsed="false">
      <c r="A91" s="16" t="s">
        <v>45</v>
      </c>
      <c r="B91" s="16" t="s">
        <v>115</v>
      </c>
      <c r="C91" s="16" t="s">
        <v>68</v>
      </c>
      <c r="D91" s="16" t="s">
        <v>107</v>
      </c>
      <c r="E91" s="17" t="s">
        <v>108</v>
      </c>
      <c r="F91" s="17" t="n">
        <v>2</v>
      </c>
      <c r="G91" s="19" t="n">
        <v>0.643994345929364</v>
      </c>
      <c r="H91" s="19" t="n">
        <v>0.186721028175642</v>
      </c>
      <c r="I91" s="19" t="n">
        <v>0.152034349849592</v>
      </c>
      <c r="J91" s="18" t="n">
        <v>0.585271282411011</v>
      </c>
      <c r="K91" s="29" t="n">
        <v>36.1260318083641</v>
      </c>
      <c r="L91" s="19" t="n">
        <v>0.476127087784067</v>
      </c>
      <c r="M91" s="17" t="n">
        <v>8</v>
      </c>
      <c r="N91" s="17" t="n">
        <v>12929</v>
      </c>
      <c r="O91" s="17" t="n">
        <v>8</v>
      </c>
      <c r="P91" s="17" t="n">
        <v>640</v>
      </c>
      <c r="Q91" s="17" t="n">
        <v>299</v>
      </c>
      <c r="R91" s="27" t="str">
        <f aca="false">IF(G91=_xlfn.MINIFS($G$2:$G$361,$A$2:$A$361,$A91),"BEST","")</f>
        <v/>
      </c>
    </row>
    <row r="92" customFormat="false" ht="15" hidden="false" customHeight="false" outlineLevel="0" collapsed="false">
      <c r="A92" s="16" t="s">
        <v>45</v>
      </c>
      <c r="B92" s="16" t="s">
        <v>117</v>
      </c>
      <c r="C92" s="16" t="s">
        <v>68</v>
      </c>
      <c r="D92" s="16" t="s">
        <v>107</v>
      </c>
      <c r="E92" s="17" t="s">
        <v>108</v>
      </c>
      <c r="F92" s="17" t="n">
        <v>2</v>
      </c>
      <c r="G92" s="19" t="n">
        <v>0.740971580250331</v>
      </c>
      <c r="H92" s="19" t="n">
        <v>0.214838804389825</v>
      </c>
      <c r="I92" s="19" t="n">
        <v>0.17286746783113</v>
      </c>
      <c r="J92" s="18" t="n">
        <v>0.450961117261327</v>
      </c>
      <c r="K92" s="29" t="n">
        <v>39.0099978492056</v>
      </c>
      <c r="L92" s="19" t="n">
        <v>0.552043719413715</v>
      </c>
      <c r="M92" s="17" t="n">
        <v>8</v>
      </c>
      <c r="N92" s="17" t="n">
        <v>17217</v>
      </c>
      <c r="O92" s="17" t="n">
        <v>8</v>
      </c>
      <c r="P92" s="17" t="n">
        <v>640</v>
      </c>
      <c r="Q92" s="17" t="n">
        <v>299</v>
      </c>
      <c r="R92" s="27" t="str">
        <f aca="false">IF(G92=_xlfn.MINIFS($G$2:$G$361,$A$2:$A$361,$A92),"BEST","")</f>
        <v/>
      </c>
    </row>
    <row r="93" customFormat="false" ht="15" hidden="false" customHeight="false" outlineLevel="0" collapsed="false">
      <c r="A93" s="16" t="s">
        <v>45</v>
      </c>
      <c r="B93" s="16" t="s">
        <v>117</v>
      </c>
      <c r="C93" s="16" t="s">
        <v>68</v>
      </c>
      <c r="D93" s="16" t="s">
        <v>107</v>
      </c>
      <c r="E93" s="17" t="s">
        <v>108</v>
      </c>
      <c r="F93" s="17" t="n">
        <v>1</v>
      </c>
      <c r="G93" s="19" t="n">
        <v>0.821112653327615</v>
      </c>
      <c r="H93" s="19" t="n">
        <v>0.23807506983016</v>
      </c>
      <c r="I93" s="19" t="n">
        <v>0.192427702192155</v>
      </c>
      <c r="J93" s="18" t="n">
        <v>0.325774010545284</v>
      </c>
      <c r="K93" s="29" t="n">
        <v>41.6202477172014</v>
      </c>
      <c r="L93" s="19" t="n">
        <v>0.625840367577382</v>
      </c>
      <c r="M93" s="17" t="n">
        <v>8</v>
      </c>
      <c r="N93" s="17" t="n">
        <v>17217</v>
      </c>
      <c r="O93" s="17" t="n">
        <v>8</v>
      </c>
      <c r="P93" s="17" t="n">
        <v>640</v>
      </c>
      <c r="Q93" s="17" t="n">
        <v>299</v>
      </c>
      <c r="R93" s="27" t="str">
        <f aca="false">IF(G93=_xlfn.MINIFS($G$2:$G$361,$A$2:$A$361,$A93),"BEST","")</f>
        <v/>
      </c>
    </row>
    <row r="94" customFormat="false" ht="15" hidden="false" customHeight="false" outlineLevel="0" collapsed="false">
      <c r="A94" s="16" t="s">
        <v>45</v>
      </c>
      <c r="B94" s="16" t="s">
        <v>117</v>
      </c>
      <c r="C94" s="16" t="s">
        <v>68</v>
      </c>
      <c r="D94" s="16" t="s">
        <v>107</v>
      </c>
      <c r="E94" s="17" t="s">
        <v>108</v>
      </c>
      <c r="F94" s="17" t="n">
        <v>0</v>
      </c>
      <c r="G94" s="19" t="n">
        <v>0.845551998036849</v>
      </c>
      <c r="H94" s="19" t="n">
        <v>0.245161063054932</v>
      </c>
      <c r="I94" s="19" t="n">
        <v>0.198709924537832</v>
      </c>
      <c r="J94" s="18" t="n">
        <v>0.285041818615893</v>
      </c>
      <c r="K94" s="29" t="n">
        <v>42.4819267698762</v>
      </c>
      <c r="L94" s="19" t="n">
        <v>0.632521154187031</v>
      </c>
      <c r="M94" s="17" t="n">
        <v>8</v>
      </c>
      <c r="N94" s="17" t="n">
        <v>17217</v>
      </c>
      <c r="O94" s="17" t="n">
        <v>8</v>
      </c>
      <c r="P94" s="17" t="n">
        <v>640</v>
      </c>
      <c r="Q94" s="17" t="n">
        <v>299</v>
      </c>
      <c r="R94" s="27" t="str">
        <f aca="false">IF(G94=_xlfn.MINIFS($G$2:$G$361,$A$2:$A$361,$A94),"BEST","")</f>
        <v/>
      </c>
    </row>
    <row r="95" customFormat="false" ht="15" hidden="false" customHeight="false" outlineLevel="0" collapsed="false">
      <c r="A95" s="16" t="s">
        <v>45</v>
      </c>
      <c r="B95" s="16" t="s">
        <v>117</v>
      </c>
      <c r="C95" s="16" t="s">
        <v>68</v>
      </c>
      <c r="D95" s="16" t="s">
        <v>107</v>
      </c>
      <c r="E95" s="17" t="s">
        <v>108</v>
      </c>
      <c r="F95" s="17" t="n">
        <v>4</v>
      </c>
      <c r="G95" s="19" t="n">
        <v>0.849989584452751</v>
      </c>
      <c r="H95" s="19" t="n">
        <v>0.246447705870095</v>
      </c>
      <c r="I95" s="19" t="n">
        <v>0.20189875537285</v>
      </c>
      <c r="J95" s="18" t="n">
        <v>0.27751770632184</v>
      </c>
      <c r="K95" s="29" t="n">
        <v>43.0463504178606</v>
      </c>
      <c r="L95" s="19" t="n">
        <v>0.616152269962268</v>
      </c>
      <c r="M95" s="17" t="n">
        <v>8</v>
      </c>
      <c r="N95" s="17" t="n">
        <v>17217</v>
      </c>
      <c r="O95" s="17" t="n">
        <v>8</v>
      </c>
      <c r="P95" s="17" t="n">
        <v>640</v>
      </c>
      <c r="Q95" s="17" t="n">
        <v>299</v>
      </c>
      <c r="R95" s="27" t="str">
        <f aca="false">IF(G95=_xlfn.MINIFS($G$2:$G$361,$A$2:$A$361,$A95),"BEST","")</f>
        <v/>
      </c>
    </row>
    <row r="96" customFormat="false" ht="15" hidden="false" customHeight="false" outlineLevel="0" collapsed="false">
      <c r="A96" s="16" t="s">
        <v>45</v>
      </c>
      <c r="B96" s="16" t="s">
        <v>117</v>
      </c>
      <c r="C96" s="16" t="s">
        <v>68</v>
      </c>
      <c r="D96" s="16" t="s">
        <v>107</v>
      </c>
      <c r="E96" s="17" t="s">
        <v>108</v>
      </c>
      <c r="F96" s="17" t="n">
        <v>3</v>
      </c>
      <c r="G96" s="19" t="n">
        <v>0.862368365748332</v>
      </c>
      <c r="H96" s="19" t="n">
        <v>0.250036834851867</v>
      </c>
      <c r="I96" s="19" t="n">
        <v>0.202213080568745</v>
      </c>
      <c r="J96" s="18" t="n">
        <v>0.256320801756551</v>
      </c>
      <c r="K96" s="29" t="n">
        <v>42.8404032381976</v>
      </c>
      <c r="L96" s="19" t="n">
        <v>0.663632137897449</v>
      </c>
      <c r="M96" s="17" t="n">
        <v>8</v>
      </c>
      <c r="N96" s="17" t="n">
        <v>17217</v>
      </c>
      <c r="O96" s="17" t="n">
        <v>8</v>
      </c>
      <c r="P96" s="17" t="n">
        <v>640</v>
      </c>
      <c r="Q96" s="17" t="n">
        <v>299</v>
      </c>
      <c r="R96" s="27" t="str">
        <f aca="false">IF(G96=_xlfn.MINIFS($G$2:$G$361,$A$2:$A$361,$A96),"BEST","")</f>
        <v/>
      </c>
    </row>
    <row r="97" customFormat="false" ht="15" hidden="false" customHeight="false" outlineLevel="0" collapsed="false">
      <c r="A97" s="16" t="s">
        <v>45</v>
      </c>
      <c r="B97" s="16" t="s">
        <v>118</v>
      </c>
      <c r="C97" s="16" t="s">
        <v>68</v>
      </c>
      <c r="D97" s="16" t="s">
        <v>89</v>
      </c>
      <c r="E97" s="17" t="s">
        <v>119</v>
      </c>
      <c r="F97" s="17" t="n">
        <v>0</v>
      </c>
      <c r="G97" s="19" t="n">
        <v>0.879324707141309</v>
      </c>
      <c r="H97" s="19" t="n">
        <v>0.254953190902206</v>
      </c>
      <c r="I97" s="19" t="n">
        <v>0.208826922433639</v>
      </c>
      <c r="J97" s="18" t="n">
        <v>0.226788059410851</v>
      </c>
      <c r="K97" s="29" t="n">
        <v>43.8128913781523</v>
      </c>
      <c r="L97" s="19" t="n">
        <v>0.66289127679371</v>
      </c>
      <c r="M97" s="17" t="n">
        <v>4</v>
      </c>
      <c r="N97" s="17" t="n">
        <v>5</v>
      </c>
      <c r="O97" s="17" t="n">
        <v>4</v>
      </c>
      <c r="P97" s="17" t="n">
        <v>799</v>
      </c>
      <c r="Q97" s="17" t="n">
        <v>299</v>
      </c>
      <c r="R97" s="27" t="str">
        <f aca="false">IF(G97=_xlfn.MINIFS($G$2:$G$361,$A$2:$A$361,$A97),"BEST","")</f>
        <v/>
      </c>
    </row>
    <row r="98" customFormat="false" ht="15" hidden="false" customHeight="false" outlineLevel="0" collapsed="false">
      <c r="A98" s="16" t="s">
        <v>45</v>
      </c>
      <c r="B98" s="16" t="s">
        <v>118</v>
      </c>
      <c r="C98" s="16" t="s">
        <v>68</v>
      </c>
      <c r="D98" s="16" t="s">
        <v>89</v>
      </c>
      <c r="E98" s="17" t="s">
        <v>119</v>
      </c>
      <c r="F98" s="17" t="n">
        <v>1</v>
      </c>
      <c r="G98" s="19" t="n">
        <v>0.879324707141309</v>
      </c>
      <c r="H98" s="19" t="n">
        <v>0.254953190902206</v>
      </c>
      <c r="I98" s="19" t="n">
        <v>0.208826922433639</v>
      </c>
      <c r="J98" s="18" t="n">
        <v>0.226788059410851</v>
      </c>
      <c r="K98" s="29" t="n">
        <v>43.8128913781523</v>
      </c>
      <c r="L98" s="19" t="n">
        <v>0.66289127679371</v>
      </c>
      <c r="M98" s="17" t="n">
        <v>4</v>
      </c>
      <c r="N98" s="17" t="n">
        <v>5</v>
      </c>
      <c r="O98" s="17" t="n">
        <v>4</v>
      </c>
      <c r="P98" s="17" t="n">
        <v>799</v>
      </c>
      <c r="Q98" s="17" t="n">
        <v>299</v>
      </c>
      <c r="R98" s="27" t="str">
        <f aca="false">IF(G98=_xlfn.MINIFS($G$2:$G$361,$A$2:$A$361,$A98),"BEST","")</f>
        <v/>
      </c>
    </row>
    <row r="99" customFormat="false" ht="15" hidden="false" customHeight="false" outlineLevel="0" collapsed="false">
      <c r="A99" s="16" t="s">
        <v>45</v>
      </c>
      <c r="B99" s="16" t="s">
        <v>118</v>
      </c>
      <c r="C99" s="16" t="s">
        <v>68</v>
      </c>
      <c r="D99" s="16" t="s">
        <v>89</v>
      </c>
      <c r="E99" s="17" t="s">
        <v>119</v>
      </c>
      <c r="F99" s="17" t="n">
        <v>2</v>
      </c>
      <c r="G99" s="19" t="n">
        <v>0.879324707141309</v>
      </c>
      <c r="H99" s="19" t="n">
        <v>0.254953190902206</v>
      </c>
      <c r="I99" s="19" t="n">
        <v>0.208826922433639</v>
      </c>
      <c r="J99" s="18" t="n">
        <v>0.226788059410851</v>
      </c>
      <c r="K99" s="29" t="n">
        <v>43.8128913781523</v>
      </c>
      <c r="L99" s="19" t="n">
        <v>0.66289127679371</v>
      </c>
      <c r="M99" s="17" t="n">
        <v>4</v>
      </c>
      <c r="N99" s="17" t="n">
        <v>5</v>
      </c>
      <c r="O99" s="17" t="n">
        <v>4</v>
      </c>
      <c r="P99" s="17" t="n">
        <v>799</v>
      </c>
      <c r="Q99" s="17" t="n">
        <v>299</v>
      </c>
      <c r="R99" s="27" t="str">
        <f aca="false">IF(G99=_xlfn.MINIFS($G$2:$G$361,$A$2:$A$361,$A99),"BEST","")</f>
        <v/>
      </c>
    </row>
    <row r="100" customFormat="false" ht="15" hidden="false" customHeight="false" outlineLevel="0" collapsed="false">
      <c r="A100" s="16" t="s">
        <v>45</v>
      </c>
      <c r="B100" s="16" t="s">
        <v>118</v>
      </c>
      <c r="C100" s="16" t="s">
        <v>68</v>
      </c>
      <c r="D100" s="16" t="s">
        <v>89</v>
      </c>
      <c r="E100" s="17" t="s">
        <v>119</v>
      </c>
      <c r="F100" s="17" t="n">
        <v>3</v>
      </c>
      <c r="G100" s="19" t="n">
        <v>0.879324707141309</v>
      </c>
      <c r="H100" s="19" t="n">
        <v>0.254953190902206</v>
      </c>
      <c r="I100" s="19" t="n">
        <v>0.208826922433639</v>
      </c>
      <c r="J100" s="18" t="n">
        <v>0.226788059410851</v>
      </c>
      <c r="K100" s="29" t="n">
        <v>43.8128913781523</v>
      </c>
      <c r="L100" s="19" t="n">
        <v>0.66289127679371</v>
      </c>
      <c r="M100" s="17" t="n">
        <v>4</v>
      </c>
      <c r="N100" s="17" t="n">
        <v>5</v>
      </c>
      <c r="O100" s="17" t="n">
        <v>4</v>
      </c>
      <c r="P100" s="17" t="n">
        <v>799</v>
      </c>
      <c r="Q100" s="17" t="n">
        <v>299</v>
      </c>
      <c r="R100" s="27" t="str">
        <f aca="false">IF(G100=_xlfn.MINIFS($G$2:$G$361,$A$2:$A$361,$A100),"BEST","")</f>
        <v/>
      </c>
    </row>
    <row r="101" customFormat="false" ht="15" hidden="false" customHeight="false" outlineLevel="0" collapsed="false">
      <c r="A101" s="16" t="s">
        <v>45</v>
      </c>
      <c r="B101" s="16" t="s">
        <v>118</v>
      </c>
      <c r="C101" s="16" t="s">
        <v>68</v>
      </c>
      <c r="D101" s="16" t="s">
        <v>89</v>
      </c>
      <c r="E101" s="17" t="s">
        <v>119</v>
      </c>
      <c r="F101" s="17" t="n">
        <v>4</v>
      </c>
      <c r="G101" s="19" t="n">
        <v>0.879324707141309</v>
      </c>
      <c r="H101" s="19" t="n">
        <v>0.254953190902206</v>
      </c>
      <c r="I101" s="19" t="n">
        <v>0.208826922433639</v>
      </c>
      <c r="J101" s="18" t="n">
        <v>0.226788059410851</v>
      </c>
      <c r="K101" s="29" t="n">
        <v>43.8128913781523</v>
      </c>
      <c r="L101" s="19" t="n">
        <v>0.66289127679371</v>
      </c>
      <c r="M101" s="17" t="n">
        <v>4</v>
      </c>
      <c r="N101" s="17" t="n">
        <v>5</v>
      </c>
      <c r="O101" s="17" t="n">
        <v>4</v>
      </c>
      <c r="P101" s="17" t="n">
        <v>799</v>
      </c>
      <c r="Q101" s="17" t="n">
        <v>299</v>
      </c>
      <c r="R101" s="27" t="str">
        <f aca="false">IF(G101=_xlfn.MINIFS($G$2:$G$361,$A$2:$A$361,$A101),"BEST","")</f>
        <v/>
      </c>
    </row>
    <row r="102" customFormat="false" ht="15" hidden="false" customHeight="false" outlineLevel="0" collapsed="false">
      <c r="A102" s="16" t="s">
        <v>45</v>
      </c>
      <c r="B102" s="16" t="s">
        <v>120</v>
      </c>
      <c r="C102" s="16" t="s">
        <v>68</v>
      </c>
      <c r="D102" s="16" t="s">
        <v>121</v>
      </c>
      <c r="E102" s="16" t="s">
        <v>120</v>
      </c>
      <c r="F102" s="17" t="n">
        <v>0</v>
      </c>
      <c r="G102" s="19" t="n">
        <v>0.928642668509744</v>
      </c>
      <c r="H102" s="19" t="n">
        <v>0.269252540752788</v>
      </c>
      <c r="I102" s="19" t="n">
        <v>0.225645082602843</v>
      </c>
      <c r="J102" s="18" t="n">
        <v>0.137622794223101</v>
      </c>
      <c r="K102" s="29" t="n">
        <v>46.1541862629344</v>
      </c>
      <c r="L102" s="19" t="n">
        <v>0.68910670903731</v>
      </c>
      <c r="M102" s="17" t="n">
        <v>2</v>
      </c>
      <c r="N102" s="17" t="n">
        <v>5</v>
      </c>
      <c r="O102" s="17" t="n">
        <v>1</v>
      </c>
      <c r="P102" s="17" t="n">
        <v>800</v>
      </c>
      <c r="Q102" s="17" t="n">
        <v>299</v>
      </c>
      <c r="R102" s="27" t="str">
        <f aca="false">IF(G102=_xlfn.MINIFS($G$2:$G$361,$A$2:$A$361,$A102),"BEST","")</f>
        <v/>
      </c>
    </row>
    <row r="103" customFormat="false" ht="15" hidden="false" customHeight="false" outlineLevel="0" collapsed="false">
      <c r="A103" s="16" t="s">
        <v>45</v>
      </c>
      <c r="B103" s="16" t="s">
        <v>120</v>
      </c>
      <c r="C103" s="16" t="s">
        <v>68</v>
      </c>
      <c r="D103" s="16" t="s">
        <v>121</v>
      </c>
      <c r="E103" s="16" t="s">
        <v>120</v>
      </c>
      <c r="F103" s="17" t="n">
        <v>1</v>
      </c>
      <c r="G103" s="19" t="n">
        <v>0.928642668509744</v>
      </c>
      <c r="H103" s="19" t="n">
        <v>0.269252540752788</v>
      </c>
      <c r="I103" s="19" t="n">
        <v>0.225645082602843</v>
      </c>
      <c r="J103" s="18" t="n">
        <v>0.137622794223101</v>
      </c>
      <c r="K103" s="29" t="n">
        <v>46.1541862629344</v>
      </c>
      <c r="L103" s="19" t="n">
        <v>0.68910670903731</v>
      </c>
      <c r="M103" s="17" t="n">
        <v>2</v>
      </c>
      <c r="N103" s="17" t="n">
        <v>5</v>
      </c>
      <c r="O103" s="17" t="n">
        <v>1</v>
      </c>
      <c r="P103" s="17" t="n">
        <v>800</v>
      </c>
      <c r="Q103" s="17" t="n">
        <v>299</v>
      </c>
      <c r="R103" s="27" t="str">
        <f aca="false">IF(G103=_xlfn.MINIFS($G$2:$G$361,$A$2:$A$361,$A103),"BEST","")</f>
        <v/>
      </c>
    </row>
    <row r="104" customFormat="false" ht="15" hidden="false" customHeight="false" outlineLevel="0" collapsed="false">
      <c r="A104" s="16" t="s">
        <v>45</v>
      </c>
      <c r="B104" s="16" t="s">
        <v>120</v>
      </c>
      <c r="C104" s="16" t="s">
        <v>68</v>
      </c>
      <c r="D104" s="16" t="s">
        <v>121</v>
      </c>
      <c r="E104" s="16" t="s">
        <v>120</v>
      </c>
      <c r="F104" s="17" t="n">
        <v>2</v>
      </c>
      <c r="G104" s="19" t="n">
        <v>0.928642668509744</v>
      </c>
      <c r="H104" s="19" t="n">
        <v>0.269252540752788</v>
      </c>
      <c r="I104" s="19" t="n">
        <v>0.225645082602843</v>
      </c>
      <c r="J104" s="18" t="n">
        <v>0.137622794223101</v>
      </c>
      <c r="K104" s="29" t="n">
        <v>46.1541862629344</v>
      </c>
      <c r="L104" s="19" t="n">
        <v>0.68910670903731</v>
      </c>
      <c r="M104" s="17" t="n">
        <v>2</v>
      </c>
      <c r="N104" s="17" t="n">
        <v>5</v>
      </c>
      <c r="O104" s="17" t="n">
        <v>1</v>
      </c>
      <c r="P104" s="17" t="n">
        <v>800</v>
      </c>
      <c r="Q104" s="17" t="n">
        <v>299</v>
      </c>
      <c r="R104" s="27" t="str">
        <f aca="false">IF(G104=_xlfn.MINIFS($G$2:$G$361,$A$2:$A$361,$A104),"BEST","")</f>
        <v/>
      </c>
    </row>
    <row r="105" customFormat="false" ht="15" hidden="false" customHeight="false" outlineLevel="0" collapsed="false">
      <c r="A105" s="16" t="s">
        <v>45</v>
      </c>
      <c r="B105" s="16" t="s">
        <v>120</v>
      </c>
      <c r="C105" s="16" t="s">
        <v>68</v>
      </c>
      <c r="D105" s="16" t="s">
        <v>121</v>
      </c>
      <c r="E105" s="16" t="s">
        <v>120</v>
      </c>
      <c r="F105" s="17" t="n">
        <v>3</v>
      </c>
      <c r="G105" s="19" t="n">
        <v>0.928642668509744</v>
      </c>
      <c r="H105" s="19" t="n">
        <v>0.269252540752788</v>
      </c>
      <c r="I105" s="19" t="n">
        <v>0.225645082602843</v>
      </c>
      <c r="J105" s="18" t="n">
        <v>0.137622794223101</v>
      </c>
      <c r="K105" s="29" t="n">
        <v>46.1541862629344</v>
      </c>
      <c r="L105" s="19" t="n">
        <v>0.68910670903731</v>
      </c>
      <c r="M105" s="17" t="n">
        <v>2</v>
      </c>
      <c r="N105" s="17" t="n">
        <v>5</v>
      </c>
      <c r="O105" s="17" t="n">
        <v>1</v>
      </c>
      <c r="P105" s="17" t="n">
        <v>800</v>
      </c>
      <c r="Q105" s="17" t="n">
        <v>299</v>
      </c>
      <c r="R105" s="27" t="str">
        <f aca="false">IF(G105=_xlfn.MINIFS($G$2:$G$361,$A$2:$A$361,$A105),"BEST","")</f>
        <v/>
      </c>
    </row>
    <row r="106" customFormat="false" ht="15" hidden="false" customHeight="false" outlineLevel="0" collapsed="false">
      <c r="A106" s="16" t="s">
        <v>45</v>
      </c>
      <c r="B106" s="16" t="s">
        <v>120</v>
      </c>
      <c r="C106" s="16" t="s">
        <v>68</v>
      </c>
      <c r="D106" s="16" t="s">
        <v>121</v>
      </c>
      <c r="E106" s="16" t="s">
        <v>120</v>
      </c>
      <c r="F106" s="17" t="n">
        <v>4</v>
      </c>
      <c r="G106" s="19" t="n">
        <v>0.928642668509744</v>
      </c>
      <c r="H106" s="19" t="n">
        <v>0.269252540752788</v>
      </c>
      <c r="I106" s="19" t="n">
        <v>0.225645082602843</v>
      </c>
      <c r="J106" s="18" t="n">
        <v>0.137622794223101</v>
      </c>
      <c r="K106" s="29" t="n">
        <v>46.1541862629344</v>
      </c>
      <c r="L106" s="19" t="n">
        <v>0.68910670903731</v>
      </c>
      <c r="M106" s="17" t="n">
        <v>2</v>
      </c>
      <c r="N106" s="17" t="n">
        <v>5</v>
      </c>
      <c r="O106" s="17" t="n">
        <v>1</v>
      </c>
      <c r="P106" s="17" t="n">
        <v>800</v>
      </c>
      <c r="Q106" s="17" t="n">
        <v>299</v>
      </c>
      <c r="R106" s="27" t="str">
        <f aca="false">IF(G106=_xlfn.MINIFS($G$2:$G$361,$A$2:$A$361,$A106),"BEST","")</f>
        <v/>
      </c>
    </row>
    <row r="107" customFormat="false" ht="15" hidden="false" customHeight="false" outlineLevel="0" collapsed="false">
      <c r="A107" s="16" t="s">
        <v>45</v>
      </c>
      <c r="B107" s="16" t="s">
        <v>122</v>
      </c>
      <c r="C107" s="16" t="s">
        <v>68</v>
      </c>
      <c r="D107" s="16" t="s">
        <v>121</v>
      </c>
      <c r="E107" s="17" t="s">
        <v>123</v>
      </c>
      <c r="F107" s="17" t="n">
        <v>0</v>
      </c>
      <c r="G107" s="19" t="n">
        <v>0.947145170134467</v>
      </c>
      <c r="H107" s="19" t="n">
        <v>0.274617193639924</v>
      </c>
      <c r="I107" s="19" t="n">
        <v>0.233920138999538</v>
      </c>
      <c r="J107" s="18" t="n">
        <v>0.102916026690952</v>
      </c>
      <c r="K107" s="29" t="n">
        <v>47.4047143610043</v>
      </c>
      <c r="L107" s="19" t="n">
        <v>0.689641881591534</v>
      </c>
      <c r="M107" s="17" t="n">
        <v>2</v>
      </c>
      <c r="N107" s="17" t="n">
        <v>4</v>
      </c>
      <c r="O107" s="17" t="n">
        <v>1</v>
      </c>
      <c r="P107" s="17" t="n">
        <v>800</v>
      </c>
      <c r="Q107" s="17" t="n">
        <v>299</v>
      </c>
      <c r="R107" s="27" t="str">
        <f aca="false">IF(G107=_xlfn.MINIFS($G$2:$G$361,$A$2:$A$361,$A107),"BEST","")</f>
        <v/>
      </c>
    </row>
    <row r="108" customFormat="false" ht="15" hidden="false" customHeight="false" outlineLevel="0" collapsed="false">
      <c r="A108" s="16" t="s">
        <v>45</v>
      </c>
      <c r="B108" s="16" t="s">
        <v>122</v>
      </c>
      <c r="C108" s="16" t="s">
        <v>68</v>
      </c>
      <c r="D108" s="16" t="s">
        <v>121</v>
      </c>
      <c r="E108" s="17" t="s">
        <v>123</v>
      </c>
      <c r="F108" s="17" t="n">
        <v>1</v>
      </c>
      <c r="G108" s="19" t="n">
        <v>0.947145170134467</v>
      </c>
      <c r="H108" s="19" t="n">
        <v>0.274617193639924</v>
      </c>
      <c r="I108" s="19" t="n">
        <v>0.233920138999538</v>
      </c>
      <c r="J108" s="18" t="n">
        <v>0.102916026690952</v>
      </c>
      <c r="K108" s="29" t="n">
        <v>47.4047143610043</v>
      </c>
      <c r="L108" s="19" t="n">
        <v>0.689641881591534</v>
      </c>
      <c r="M108" s="17" t="n">
        <v>2</v>
      </c>
      <c r="N108" s="17" t="n">
        <v>4</v>
      </c>
      <c r="O108" s="17" t="n">
        <v>1</v>
      </c>
      <c r="P108" s="17" t="n">
        <v>800</v>
      </c>
      <c r="Q108" s="17" t="n">
        <v>299</v>
      </c>
      <c r="R108" s="27" t="str">
        <f aca="false">IF(G108=_xlfn.MINIFS($G$2:$G$361,$A$2:$A$361,$A108),"BEST","")</f>
        <v/>
      </c>
    </row>
    <row r="109" customFormat="false" ht="15" hidden="false" customHeight="false" outlineLevel="0" collapsed="false">
      <c r="A109" s="16" t="s">
        <v>45</v>
      </c>
      <c r="B109" s="16" t="s">
        <v>122</v>
      </c>
      <c r="C109" s="16" t="s">
        <v>68</v>
      </c>
      <c r="D109" s="16" t="s">
        <v>121</v>
      </c>
      <c r="E109" s="17" t="s">
        <v>123</v>
      </c>
      <c r="F109" s="17" t="n">
        <v>2</v>
      </c>
      <c r="G109" s="19" t="n">
        <v>0.947145170134467</v>
      </c>
      <c r="H109" s="19" t="n">
        <v>0.274617193639924</v>
      </c>
      <c r="I109" s="19" t="n">
        <v>0.233920138999538</v>
      </c>
      <c r="J109" s="18" t="n">
        <v>0.102916026690952</v>
      </c>
      <c r="K109" s="29" t="n">
        <v>47.4047143610043</v>
      </c>
      <c r="L109" s="19" t="n">
        <v>0.689641881591534</v>
      </c>
      <c r="M109" s="17" t="n">
        <v>2</v>
      </c>
      <c r="N109" s="17" t="n">
        <v>4</v>
      </c>
      <c r="O109" s="17" t="n">
        <v>1</v>
      </c>
      <c r="P109" s="17" t="n">
        <v>800</v>
      </c>
      <c r="Q109" s="17" t="n">
        <v>299</v>
      </c>
      <c r="R109" s="27" t="str">
        <f aca="false">IF(G109=_xlfn.MINIFS($G$2:$G$361,$A$2:$A$361,$A109),"BEST","")</f>
        <v/>
      </c>
    </row>
    <row r="110" customFormat="false" ht="15" hidden="false" customHeight="false" outlineLevel="0" collapsed="false">
      <c r="A110" s="16" t="s">
        <v>45</v>
      </c>
      <c r="B110" s="16" t="s">
        <v>122</v>
      </c>
      <c r="C110" s="16" t="s">
        <v>68</v>
      </c>
      <c r="D110" s="16" t="s">
        <v>121</v>
      </c>
      <c r="E110" s="17" t="s">
        <v>123</v>
      </c>
      <c r="F110" s="17" t="n">
        <v>3</v>
      </c>
      <c r="G110" s="19" t="n">
        <v>0.947145170134467</v>
      </c>
      <c r="H110" s="19" t="n">
        <v>0.274617193639924</v>
      </c>
      <c r="I110" s="19" t="n">
        <v>0.233920138999538</v>
      </c>
      <c r="J110" s="18" t="n">
        <v>0.102916026690952</v>
      </c>
      <c r="K110" s="29" t="n">
        <v>47.4047143610043</v>
      </c>
      <c r="L110" s="19" t="n">
        <v>0.689641881591534</v>
      </c>
      <c r="M110" s="17" t="n">
        <v>2</v>
      </c>
      <c r="N110" s="17" t="n">
        <v>4</v>
      </c>
      <c r="O110" s="17" t="n">
        <v>1</v>
      </c>
      <c r="P110" s="17" t="n">
        <v>800</v>
      </c>
      <c r="Q110" s="17" t="n">
        <v>299</v>
      </c>
      <c r="R110" s="27" t="str">
        <f aca="false">IF(G110=_xlfn.MINIFS($G$2:$G$361,$A$2:$A$361,$A110),"BEST","")</f>
        <v/>
      </c>
    </row>
    <row r="111" customFormat="false" ht="15" hidden="false" customHeight="false" outlineLevel="0" collapsed="false">
      <c r="A111" s="16" t="s">
        <v>45</v>
      </c>
      <c r="B111" s="16" t="s">
        <v>122</v>
      </c>
      <c r="C111" s="16" t="s">
        <v>68</v>
      </c>
      <c r="D111" s="16" t="s">
        <v>121</v>
      </c>
      <c r="E111" s="17" t="s">
        <v>123</v>
      </c>
      <c r="F111" s="17" t="n">
        <v>4</v>
      </c>
      <c r="G111" s="19" t="n">
        <v>0.947145170134467</v>
      </c>
      <c r="H111" s="19" t="n">
        <v>0.274617193639924</v>
      </c>
      <c r="I111" s="19" t="n">
        <v>0.233920138999538</v>
      </c>
      <c r="J111" s="18" t="n">
        <v>0.102916026690952</v>
      </c>
      <c r="K111" s="29" t="n">
        <v>47.4047143610043</v>
      </c>
      <c r="L111" s="19" t="n">
        <v>0.689641881591534</v>
      </c>
      <c r="M111" s="17" t="n">
        <v>2</v>
      </c>
      <c r="N111" s="17" t="n">
        <v>4</v>
      </c>
      <c r="O111" s="17" t="n">
        <v>1</v>
      </c>
      <c r="P111" s="17" t="n">
        <v>800</v>
      </c>
      <c r="Q111" s="17" t="n">
        <v>299</v>
      </c>
      <c r="R111" s="27" t="str">
        <f aca="false">IF(G111=_xlfn.MINIFS($G$2:$G$361,$A$2:$A$361,$A111),"BEST","")</f>
        <v/>
      </c>
    </row>
    <row r="112" customFormat="false" ht="15" hidden="false" customHeight="false" outlineLevel="0" collapsed="false">
      <c r="A112" s="16" t="s">
        <v>45</v>
      </c>
      <c r="B112" s="16" t="s">
        <v>124</v>
      </c>
      <c r="C112" s="16" t="s">
        <v>68</v>
      </c>
      <c r="D112" s="16" t="s">
        <v>121</v>
      </c>
      <c r="E112" s="17" t="s">
        <v>125</v>
      </c>
      <c r="F112" s="17" t="n">
        <v>0</v>
      </c>
      <c r="G112" s="19" t="n">
        <v>1.01619128484533</v>
      </c>
      <c r="H112" s="19" t="n">
        <v>0.294636564325145</v>
      </c>
      <c r="I112" s="19" t="n">
        <v>0.250888045333122</v>
      </c>
      <c r="J112" s="18" t="n">
        <v>-0.0326447273956105</v>
      </c>
      <c r="K112" s="29" t="n">
        <v>49.8893036375954</v>
      </c>
      <c r="L112" s="19" t="n">
        <v>0.662995068106712</v>
      </c>
      <c r="M112" s="17" t="n">
        <v>2</v>
      </c>
      <c r="N112" s="17" t="n">
        <v>4</v>
      </c>
      <c r="O112" s="17" t="n">
        <v>1</v>
      </c>
      <c r="P112" s="17" t="n">
        <v>800</v>
      </c>
      <c r="Q112" s="17" t="n">
        <v>299</v>
      </c>
      <c r="R112" s="27" t="str">
        <f aca="false">IF(G112=_xlfn.MINIFS($G$2:$G$361,$A$2:$A$361,$A112),"BEST","")</f>
        <v/>
      </c>
    </row>
    <row r="113" customFormat="false" ht="15" hidden="false" customHeight="false" outlineLevel="0" collapsed="false">
      <c r="A113" s="16" t="s">
        <v>45</v>
      </c>
      <c r="B113" s="16" t="s">
        <v>124</v>
      </c>
      <c r="C113" s="16" t="s">
        <v>68</v>
      </c>
      <c r="D113" s="16" t="s">
        <v>121</v>
      </c>
      <c r="E113" s="17" t="s">
        <v>125</v>
      </c>
      <c r="F113" s="17" t="n">
        <v>1</v>
      </c>
      <c r="G113" s="19" t="n">
        <v>1.01619128484533</v>
      </c>
      <c r="H113" s="19" t="n">
        <v>0.294636564325145</v>
      </c>
      <c r="I113" s="19" t="n">
        <v>0.250888045333122</v>
      </c>
      <c r="J113" s="18" t="n">
        <v>-0.0326447273956105</v>
      </c>
      <c r="K113" s="29" t="n">
        <v>49.8893036375954</v>
      </c>
      <c r="L113" s="19" t="n">
        <v>0.662995068106712</v>
      </c>
      <c r="M113" s="17" t="n">
        <v>2</v>
      </c>
      <c r="N113" s="17" t="n">
        <v>4</v>
      </c>
      <c r="O113" s="17" t="n">
        <v>1</v>
      </c>
      <c r="P113" s="17" t="n">
        <v>800</v>
      </c>
      <c r="Q113" s="17" t="n">
        <v>299</v>
      </c>
      <c r="R113" s="27" t="str">
        <f aca="false">IF(G113=_xlfn.MINIFS($G$2:$G$361,$A$2:$A$361,$A113),"BEST","")</f>
        <v/>
      </c>
    </row>
    <row r="114" customFormat="false" ht="15" hidden="false" customHeight="false" outlineLevel="0" collapsed="false">
      <c r="A114" s="16" t="s">
        <v>45</v>
      </c>
      <c r="B114" s="16" t="s">
        <v>124</v>
      </c>
      <c r="C114" s="16" t="s">
        <v>68</v>
      </c>
      <c r="D114" s="16" t="s">
        <v>121</v>
      </c>
      <c r="E114" s="17" t="s">
        <v>125</v>
      </c>
      <c r="F114" s="17" t="n">
        <v>2</v>
      </c>
      <c r="G114" s="19" t="n">
        <v>1.01619128484533</v>
      </c>
      <c r="H114" s="19" t="n">
        <v>0.294636564325145</v>
      </c>
      <c r="I114" s="19" t="n">
        <v>0.250888045333122</v>
      </c>
      <c r="J114" s="18" t="n">
        <v>-0.0326447273956105</v>
      </c>
      <c r="K114" s="29" t="n">
        <v>49.8893036375954</v>
      </c>
      <c r="L114" s="19" t="n">
        <v>0.662995068106712</v>
      </c>
      <c r="M114" s="17" t="n">
        <v>2</v>
      </c>
      <c r="N114" s="17" t="n">
        <v>4</v>
      </c>
      <c r="O114" s="17" t="n">
        <v>1</v>
      </c>
      <c r="P114" s="17" t="n">
        <v>800</v>
      </c>
      <c r="Q114" s="17" t="n">
        <v>299</v>
      </c>
      <c r="R114" s="27" t="str">
        <f aca="false">IF(G114=_xlfn.MINIFS($G$2:$G$361,$A$2:$A$361,$A114),"BEST","")</f>
        <v/>
      </c>
    </row>
    <row r="115" customFormat="false" ht="15" hidden="false" customHeight="false" outlineLevel="0" collapsed="false">
      <c r="A115" s="16" t="s">
        <v>45</v>
      </c>
      <c r="B115" s="16" t="s">
        <v>124</v>
      </c>
      <c r="C115" s="16" t="s">
        <v>68</v>
      </c>
      <c r="D115" s="16" t="s">
        <v>121</v>
      </c>
      <c r="E115" s="17" t="s">
        <v>125</v>
      </c>
      <c r="F115" s="17" t="n">
        <v>3</v>
      </c>
      <c r="G115" s="19" t="n">
        <v>1.01619128484533</v>
      </c>
      <c r="H115" s="19" t="n">
        <v>0.294636564325145</v>
      </c>
      <c r="I115" s="19" t="n">
        <v>0.250888045333122</v>
      </c>
      <c r="J115" s="18" t="n">
        <v>-0.0326447273956105</v>
      </c>
      <c r="K115" s="29" t="n">
        <v>49.8893036375954</v>
      </c>
      <c r="L115" s="19" t="n">
        <v>0.662995068106712</v>
      </c>
      <c r="M115" s="17" t="n">
        <v>2</v>
      </c>
      <c r="N115" s="17" t="n">
        <v>4</v>
      </c>
      <c r="O115" s="17" t="n">
        <v>1</v>
      </c>
      <c r="P115" s="17" t="n">
        <v>800</v>
      </c>
      <c r="Q115" s="17" t="n">
        <v>299</v>
      </c>
      <c r="R115" s="27" t="str">
        <f aca="false">IF(G115=_xlfn.MINIFS($G$2:$G$361,$A$2:$A$361,$A115),"BEST","")</f>
        <v/>
      </c>
    </row>
    <row r="116" customFormat="false" ht="15" hidden="false" customHeight="false" outlineLevel="0" collapsed="false">
      <c r="A116" s="16" t="s">
        <v>45</v>
      </c>
      <c r="B116" s="16" t="s">
        <v>124</v>
      </c>
      <c r="C116" s="16" t="s">
        <v>68</v>
      </c>
      <c r="D116" s="16" t="s">
        <v>121</v>
      </c>
      <c r="E116" s="17" t="s">
        <v>125</v>
      </c>
      <c r="F116" s="17" t="n">
        <v>4</v>
      </c>
      <c r="G116" s="19" t="n">
        <v>1.01619128484533</v>
      </c>
      <c r="H116" s="19" t="n">
        <v>0.294636564325145</v>
      </c>
      <c r="I116" s="19" t="n">
        <v>0.250888045333122</v>
      </c>
      <c r="J116" s="18" t="n">
        <v>-0.0326447273956105</v>
      </c>
      <c r="K116" s="29" t="n">
        <v>49.8893036375954</v>
      </c>
      <c r="L116" s="19" t="n">
        <v>0.662995068106712</v>
      </c>
      <c r="M116" s="17" t="n">
        <v>2</v>
      </c>
      <c r="N116" s="17" t="n">
        <v>4</v>
      </c>
      <c r="O116" s="17" t="n">
        <v>1</v>
      </c>
      <c r="P116" s="17" t="n">
        <v>800</v>
      </c>
      <c r="Q116" s="17" t="n">
        <v>299</v>
      </c>
      <c r="R116" s="27" t="str">
        <f aca="false">IF(G116=_xlfn.MINIFS($G$2:$G$361,$A$2:$A$361,$A116),"BEST","")</f>
        <v/>
      </c>
    </row>
    <row r="117" customFormat="false" ht="15" hidden="false" customHeight="false" outlineLevel="0" collapsed="false">
      <c r="A117" s="16" t="s">
        <v>45</v>
      </c>
      <c r="B117" s="16" t="s">
        <v>126</v>
      </c>
      <c r="C117" s="16" t="s">
        <v>68</v>
      </c>
      <c r="D117" s="16" t="s">
        <v>121</v>
      </c>
      <c r="E117" s="16" t="s">
        <v>127</v>
      </c>
      <c r="F117" s="17" t="n">
        <v>0</v>
      </c>
      <c r="G117" s="19" t="n">
        <v>1.59991110487141</v>
      </c>
      <c r="H117" s="19" t="n">
        <v>0.4638814740836</v>
      </c>
      <c r="I117" s="19" t="n">
        <v>0.392358115698</v>
      </c>
      <c r="J117" s="18" t="n">
        <v>-1.55971554349087</v>
      </c>
      <c r="K117" s="29" t="n">
        <v>76.9793788675834</v>
      </c>
      <c r="L117" s="19" t="n">
        <v>0.999113462541431</v>
      </c>
      <c r="M117" s="17" t="n">
        <v>1</v>
      </c>
      <c r="N117" s="17" t="n">
        <v>0</v>
      </c>
      <c r="O117" s="17" t="n">
        <v>1</v>
      </c>
      <c r="P117" s="17" t="n">
        <v>0</v>
      </c>
      <c r="Q117" s="17" t="n">
        <v>299</v>
      </c>
      <c r="R117" s="27" t="str">
        <f aca="false">IF(G117=_xlfn.MINIFS($G$2:$G$361,$A$2:$A$361,$A117),"BEST","")</f>
        <v/>
      </c>
    </row>
    <row r="118" customFormat="false" ht="15" hidden="false" customHeight="false" outlineLevel="0" collapsed="false">
      <c r="A118" s="16" t="s">
        <v>45</v>
      </c>
      <c r="B118" s="16" t="s">
        <v>126</v>
      </c>
      <c r="C118" s="16" t="s">
        <v>68</v>
      </c>
      <c r="D118" s="16" t="s">
        <v>121</v>
      </c>
      <c r="E118" s="16" t="s">
        <v>127</v>
      </c>
      <c r="F118" s="17" t="n">
        <v>1</v>
      </c>
      <c r="G118" s="19" t="n">
        <v>1.59991110487141</v>
      </c>
      <c r="H118" s="19" t="n">
        <v>0.4638814740836</v>
      </c>
      <c r="I118" s="19" t="n">
        <v>0.392358115698</v>
      </c>
      <c r="J118" s="18" t="n">
        <v>-1.55971554349087</v>
      </c>
      <c r="K118" s="29" t="n">
        <v>76.9793788675834</v>
      </c>
      <c r="L118" s="19" t="n">
        <v>0.999113462541431</v>
      </c>
      <c r="M118" s="17" t="n">
        <v>1</v>
      </c>
      <c r="N118" s="17" t="n">
        <v>0</v>
      </c>
      <c r="O118" s="17" t="n">
        <v>1</v>
      </c>
      <c r="P118" s="17" t="n">
        <v>0</v>
      </c>
      <c r="Q118" s="17" t="n">
        <v>299</v>
      </c>
      <c r="R118" s="27" t="str">
        <f aca="false">IF(G118=_xlfn.MINIFS($G$2:$G$361,$A$2:$A$361,$A118),"BEST","")</f>
        <v/>
      </c>
    </row>
    <row r="119" customFormat="false" ht="15" hidden="false" customHeight="false" outlineLevel="0" collapsed="false">
      <c r="A119" s="16" t="s">
        <v>45</v>
      </c>
      <c r="B119" s="16" t="s">
        <v>126</v>
      </c>
      <c r="C119" s="16" t="s">
        <v>68</v>
      </c>
      <c r="D119" s="16" t="s">
        <v>121</v>
      </c>
      <c r="E119" s="16" t="s">
        <v>127</v>
      </c>
      <c r="F119" s="17" t="n">
        <v>2</v>
      </c>
      <c r="G119" s="19" t="n">
        <v>1.59991110487141</v>
      </c>
      <c r="H119" s="19" t="n">
        <v>0.4638814740836</v>
      </c>
      <c r="I119" s="19" t="n">
        <v>0.392358115698</v>
      </c>
      <c r="J119" s="18" t="n">
        <v>-1.55971554349087</v>
      </c>
      <c r="K119" s="29" t="n">
        <v>76.9793788675834</v>
      </c>
      <c r="L119" s="19" t="n">
        <v>0.999113462541431</v>
      </c>
      <c r="M119" s="17" t="n">
        <v>1</v>
      </c>
      <c r="N119" s="17" t="n">
        <v>0</v>
      </c>
      <c r="O119" s="17" t="n">
        <v>1</v>
      </c>
      <c r="P119" s="17" t="n">
        <v>0</v>
      </c>
      <c r="Q119" s="17" t="n">
        <v>299</v>
      </c>
      <c r="R119" s="27" t="str">
        <f aca="false">IF(G119=_xlfn.MINIFS($G$2:$G$361,$A$2:$A$361,$A119),"BEST","")</f>
        <v/>
      </c>
    </row>
    <row r="120" customFormat="false" ht="15" hidden="false" customHeight="false" outlineLevel="0" collapsed="false">
      <c r="A120" s="16" t="s">
        <v>45</v>
      </c>
      <c r="B120" s="16" t="s">
        <v>126</v>
      </c>
      <c r="C120" s="16" t="s">
        <v>68</v>
      </c>
      <c r="D120" s="16" t="s">
        <v>121</v>
      </c>
      <c r="E120" s="16" t="s">
        <v>127</v>
      </c>
      <c r="F120" s="17" t="n">
        <v>3</v>
      </c>
      <c r="G120" s="19" t="n">
        <v>1.59991110487141</v>
      </c>
      <c r="H120" s="19" t="n">
        <v>0.4638814740836</v>
      </c>
      <c r="I120" s="19" t="n">
        <v>0.392358115698</v>
      </c>
      <c r="J120" s="18" t="n">
        <v>-1.55971554349087</v>
      </c>
      <c r="K120" s="29" t="n">
        <v>76.9793788675834</v>
      </c>
      <c r="L120" s="19" t="n">
        <v>0.999113462541431</v>
      </c>
      <c r="M120" s="17" t="n">
        <v>1</v>
      </c>
      <c r="N120" s="17" t="n">
        <v>0</v>
      </c>
      <c r="O120" s="17" t="n">
        <v>1</v>
      </c>
      <c r="P120" s="17" t="n">
        <v>0</v>
      </c>
      <c r="Q120" s="17" t="n">
        <v>299</v>
      </c>
      <c r="R120" s="27" t="str">
        <f aca="false">IF(G120=_xlfn.MINIFS($G$2:$G$361,$A$2:$A$361,$A120),"BEST","")</f>
        <v/>
      </c>
    </row>
    <row r="121" customFormat="false" ht="15" hidden="false" customHeight="false" outlineLevel="0" collapsed="false">
      <c r="A121" s="16" t="s">
        <v>45</v>
      </c>
      <c r="B121" s="16" t="s">
        <v>126</v>
      </c>
      <c r="C121" s="16" t="s">
        <v>68</v>
      </c>
      <c r="D121" s="16" t="s">
        <v>121</v>
      </c>
      <c r="E121" s="16" t="s">
        <v>127</v>
      </c>
      <c r="F121" s="17" t="n">
        <v>4</v>
      </c>
      <c r="G121" s="19" t="n">
        <v>1.59991110487141</v>
      </c>
      <c r="H121" s="19" t="n">
        <v>0.4638814740836</v>
      </c>
      <c r="I121" s="19" t="n">
        <v>0.392358115698</v>
      </c>
      <c r="J121" s="18" t="n">
        <v>-1.55971554349087</v>
      </c>
      <c r="K121" s="29" t="n">
        <v>76.9793788675834</v>
      </c>
      <c r="L121" s="19" t="n">
        <v>0.999113462541431</v>
      </c>
      <c r="M121" s="17" t="n">
        <v>1</v>
      </c>
      <c r="N121" s="17" t="n">
        <v>0</v>
      </c>
      <c r="O121" s="17" t="n">
        <v>1</v>
      </c>
      <c r="P121" s="17" t="n">
        <v>0</v>
      </c>
      <c r="Q121" s="17" t="n">
        <v>299</v>
      </c>
      <c r="R121" s="27" t="str">
        <f aca="false">IF(G121=_xlfn.MINIFS($G$2:$G$361,$A$2:$A$361,$A121),"BEST","")</f>
        <v/>
      </c>
    </row>
    <row r="122" customFormat="false" ht="15" hidden="false" customHeight="false" outlineLevel="0" collapsed="false">
      <c r="A122" s="16" t="s">
        <v>50</v>
      </c>
      <c r="B122" s="16" t="s">
        <v>91</v>
      </c>
      <c r="C122" s="16" t="s">
        <v>68</v>
      </c>
      <c r="D122" s="16" t="s">
        <v>89</v>
      </c>
      <c r="E122" s="17" t="s">
        <v>92</v>
      </c>
      <c r="F122" s="17" t="n">
        <v>0</v>
      </c>
      <c r="G122" s="19" t="n">
        <v>0.00583499126184464</v>
      </c>
      <c r="H122" s="19" t="n">
        <v>0.00125183098693784</v>
      </c>
      <c r="I122" s="19" t="n">
        <v>0.000996926042613825</v>
      </c>
      <c r="J122" s="18" t="n">
        <v>0.999965952876974</v>
      </c>
      <c r="K122" s="29" t="n">
        <v>0.648257730817216</v>
      </c>
      <c r="L122" s="19" t="n">
        <v>0.00347575993920316</v>
      </c>
      <c r="M122" s="17" t="n">
        <v>300</v>
      </c>
      <c r="N122" s="17" t="n">
        <v>301</v>
      </c>
      <c r="O122" s="17" t="n">
        <v>3</v>
      </c>
      <c r="P122" s="17" t="n">
        <v>799</v>
      </c>
      <c r="Q122" s="17" t="n">
        <v>299</v>
      </c>
      <c r="R122" s="27" t="str">
        <f aca="false">IF(G122=_xlfn.MINIFS($G$2:$G$361,$A$2:$A$361,$A122),"BEST","")</f>
        <v>BEST</v>
      </c>
    </row>
    <row r="123" customFormat="false" ht="15" hidden="false" customHeight="false" outlineLevel="0" collapsed="false">
      <c r="A123" s="16" t="s">
        <v>50</v>
      </c>
      <c r="B123" s="16" t="s">
        <v>91</v>
      </c>
      <c r="C123" s="16" t="s">
        <v>68</v>
      </c>
      <c r="D123" s="16" t="s">
        <v>89</v>
      </c>
      <c r="E123" s="17" t="s">
        <v>92</v>
      </c>
      <c r="F123" s="17" t="n">
        <v>1</v>
      </c>
      <c r="G123" s="19" t="n">
        <v>0.00585809182478541</v>
      </c>
      <c r="H123" s="19" t="n">
        <v>0.00125678694988744</v>
      </c>
      <c r="I123" s="19" t="n">
        <v>0.00101680012473953</v>
      </c>
      <c r="J123" s="18" t="n">
        <v>0.999965682760172</v>
      </c>
      <c r="K123" s="29" t="n">
        <v>0.965564267279644</v>
      </c>
      <c r="L123" s="19" t="n">
        <v>0.00336388986184769</v>
      </c>
      <c r="M123" s="17" t="n">
        <v>300</v>
      </c>
      <c r="N123" s="17" t="n">
        <v>301</v>
      </c>
      <c r="O123" s="17" t="n">
        <v>3</v>
      </c>
      <c r="P123" s="17" t="n">
        <v>799</v>
      </c>
      <c r="Q123" s="17" t="n">
        <v>299</v>
      </c>
      <c r="R123" s="27" t="str">
        <f aca="false">IF(G123=_xlfn.MINIFS($G$2:$G$361,$A$2:$A$361,$A123),"BEST","")</f>
        <v/>
      </c>
    </row>
    <row r="124" customFormat="false" ht="15" hidden="false" customHeight="false" outlineLevel="0" collapsed="false">
      <c r="A124" s="16" t="s">
        <v>50</v>
      </c>
      <c r="B124" s="16" t="s">
        <v>91</v>
      </c>
      <c r="C124" s="16" t="s">
        <v>68</v>
      </c>
      <c r="D124" s="16" t="s">
        <v>89</v>
      </c>
      <c r="E124" s="17" t="s">
        <v>92</v>
      </c>
      <c r="F124" s="17" t="n">
        <v>2</v>
      </c>
      <c r="G124" s="19" t="n">
        <v>0.00591766253180469</v>
      </c>
      <c r="H124" s="19" t="n">
        <v>0.00126956716730579</v>
      </c>
      <c r="I124" s="19" t="n">
        <v>0.0010265249537484</v>
      </c>
      <c r="J124" s="18" t="n">
        <v>0.99996498127016</v>
      </c>
      <c r="K124" s="29" t="n">
        <v>0.804297568356536</v>
      </c>
      <c r="L124" s="19" t="n">
        <v>0.00350723744869677</v>
      </c>
      <c r="M124" s="17" t="n">
        <v>300</v>
      </c>
      <c r="N124" s="17" t="n">
        <v>301</v>
      </c>
      <c r="O124" s="17" t="n">
        <v>3</v>
      </c>
      <c r="P124" s="17" t="n">
        <v>799</v>
      </c>
      <c r="Q124" s="17" t="n">
        <v>299</v>
      </c>
      <c r="R124" s="27" t="str">
        <f aca="false">IF(G124=_xlfn.MINIFS($G$2:$G$361,$A$2:$A$361,$A124),"BEST","")</f>
        <v/>
      </c>
    </row>
    <row r="125" customFormat="false" ht="15" hidden="false" customHeight="false" outlineLevel="0" collapsed="false">
      <c r="A125" s="16" t="s">
        <v>50</v>
      </c>
      <c r="B125" s="16" t="s">
        <v>91</v>
      </c>
      <c r="C125" s="16" t="s">
        <v>68</v>
      </c>
      <c r="D125" s="16" t="s">
        <v>89</v>
      </c>
      <c r="E125" s="17" t="s">
        <v>92</v>
      </c>
      <c r="F125" s="17" t="n">
        <v>4</v>
      </c>
      <c r="G125" s="19" t="n">
        <v>0.0060510596760971</v>
      </c>
      <c r="H125" s="19" t="n">
        <v>0.00129818600687222</v>
      </c>
      <c r="I125" s="19" t="n">
        <v>0.0010368169050767</v>
      </c>
      <c r="J125" s="18" t="n">
        <v>0.999963384676796</v>
      </c>
      <c r="K125" s="29" t="n">
        <v>0.804257476285036</v>
      </c>
      <c r="L125" s="19" t="n">
        <v>0.00376045737549113</v>
      </c>
      <c r="M125" s="17" t="n">
        <v>300</v>
      </c>
      <c r="N125" s="17" t="n">
        <v>301</v>
      </c>
      <c r="O125" s="17" t="n">
        <v>3</v>
      </c>
      <c r="P125" s="17" t="n">
        <v>799</v>
      </c>
      <c r="Q125" s="17" t="n">
        <v>299</v>
      </c>
      <c r="R125" s="27" t="str">
        <f aca="false">IF(G125=_xlfn.MINIFS($G$2:$G$361,$A$2:$A$361,$A125),"BEST","")</f>
        <v/>
      </c>
    </row>
    <row r="126" customFormat="false" ht="15" hidden="false" customHeight="false" outlineLevel="0" collapsed="false">
      <c r="A126" s="16" t="s">
        <v>50</v>
      </c>
      <c r="B126" s="16" t="s">
        <v>91</v>
      </c>
      <c r="C126" s="16" t="s">
        <v>68</v>
      </c>
      <c r="D126" s="16" t="s">
        <v>89</v>
      </c>
      <c r="E126" s="17" t="s">
        <v>92</v>
      </c>
      <c r="F126" s="17" t="n">
        <v>3</v>
      </c>
      <c r="G126" s="19" t="n">
        <v>0.0061371564330961</v>
      </c>
      <c r="H126" s="19" t="n">
        <v>0.0013166570865105</v>
      </c>
      <c r="I126" s="19" t="n">
        <v>0.00105852391840472</v>
      </c>
      <c r="J126" s="18" t="n">
        <v>0.999962335310916</v>
      </c>
      <c r="K126" s="29" t="n">
        <v>0.939751908424032</v>
      </c>
      <c r="L126" s="19" t="n">
        <v>0.00348922911716212</v>
      </c>
      <c r="M126" s="17" t="n">
        <v>300</v>
      </c>
      <c r="N126" s="17" t="n">
        <v>301</v>
      </c>
      <c r="O126" s="17" t="n">
        <v>3</v>
      </c>
      <c r="P126" s="17" t="n">
        <v>799</v>
      </c>
      <c r="Q126" s="17" t="n">
        <v>299</v>
      </c>
      <c r="R126" s="27" t="str">
        <f aca="false">IF(G126=_xlfn.MINIFS($G$2:$G$361,$A$2:$A$361,$A126),"BEST","")</f>
        <v/>
      </c>
    </row>
    <row r="127" customFormat="false" ht="15" hidden="false" customHeight="false" outlineLevel="0" collapsed="false">
      <c r="A127" s="22" t="s">
        <v>50</v>
      </c>
      <c r="B127" s="22" t="s">
        <v>46</v>
      </c>
      <c r="C127" s="22" t="s">
        <v>72</v>
      </c>
      <c r="D127" s="22" t="s">
        <v>93</v>
      </c>
      <c r="E127" s="23" t="s">
        <v>94</v>
      </c>
      <c r="F127" s="23" t="n">
        <v>4</v>
      </c>
      <c r="G127" s="25" t="n">
        <v>0.0117215136117028</v>
      </c>
      <c r="H127" s="25" t="n">
        <v>0.00251471738250804</v>
      </c>
      <c r="I127" s="25" t="n">
        <v>0.00170347802992631</v>
      </c>
      <c r="J127" s="24" t="n">
        <v>0.999862606118651</v>
      </c>
      <c r="K127" s="30" t="n">
        <v>2.57485308862678</v>
      </c>
      <c r="L127" s="25" t="n">
        <v>0.00991284155194921</v>
      </c>
      <c r="M127" s="23" t="n">
        <v>96</v>
      </c>
      <c r="N127" s="23" t="n">
        <v>97</v>
      </c>
      <c r="O127" s="23" t="n">
        <v>5</v>
      </c>
      <c r="P127" s="23" t="n">
        <v>799</v>
      </c>
      <c r="Q127" s="23" t="n">
        <v>299</v>
      </c>
      <c r="R127" s="27" t="str">
        <f aca="false">IF(G127=_xlfn.MINIFS($G$2:$G$361,$A$2:$A$361,$A127),"BEST","")</f>
        <v/>
      </c>
    </row>
    <row r="128" customFormat="false" ht="15" hidden="false" customHeight="false" outlineLevel="0" collapsed="false">
      <c r="A128" s="22" t="s">
        <v>50</v>
      </c>
      <c r="B128" s="22" t="s">
        <v>46</v>
      </c>
      <c r="C128" s="22" t="s">
        <v>72</v>
      </c>
      <c r="D128" s="22" t="s">
        <v>93</v>
      </c>
      <c r="E128" s="23" t="s">
        <v>94</v>
      </c>
      <c r="F128" s="23" t="n">
        <v>0</v>
      </c>
      <c r="G128" s="25" t="n">
        <v>0.0132746218132113</v>
      </c>
      <c r="H128" s="25" t="n">
        <v>0.00284791907647269</v>
      </c>
      <c r="I128" s="25" t="n">
        <v>0.00200238944217224</v>
      </c>
      <c r="J128" s="24" t="n">
        <v>0.999823784415716</v>
      </c>
      <c r="K128" s="30" t="n">
        <v>2.4918186508024</v>
      </c>
      <c r="L128" s="25" t="n">
        <v>0.0126397844551994</v>
      </c>
      <c r="M128" s="23" t="n">
        <v>96</v>
      </c>
      <c r="N128" s="23" t="n">
        <v>97</v>
      </c>
      <c r="O128" s="23" t="n">
        <v>5</v>
      </c>
      <c r="P128" s="23" t="n">
        <v>799</v>
      </c>
      <c r="Q128" s="23" t="n">
        <v>299</v>
      </c>
      <c r="R128" s="27" t="str">
        <f aca="false">IF(G128=_xlfn.MINIFS($G$2:$G$361,$A$2:$A$361,$A128),"BEST","")</f>
        <v/>
      </c>
    </row>
    <row r="129" customFormat="false" ht="15" hidden="false" customHeight="false" outlineLevel="0" collapsed="false">
      <c r="A129" s="22" t="s">
        <v>50</v>
      </c>
      <c r="B129" s="22" t="s">
        <v>46</v>
      </c>
      <c r="C129" s="22" t="s">
        <v>72</v>
      </c>
      <c r="D129" s="22" t="s">
        <v>93</v>
      </c>
      <c r="E129" s="23" t="s">
        <v>94</v>
      </c>
      <c r="F129" s="23" t="n">
        <v>3</v>
      </c>
      <c r="G129" s="25" t="n">
        <v>0.0136116778961653</v>
      </c>
      <c r="H129" s="25" t="n">
        <v>0.00292023062417574</v>
      </c>
      <c r="I129" s="25" t="n">
        <v>0.00206597135690189</v>
      </c>
      <c r="J129" s="24" t="n">
        <v>0.999814722224851</v>
      </c>
      <c r="K129" s="30" t="n">
        <v>2.70197295543608</v>
      </c>
      <c r="L129" s="25" t="n">
        <v>0.0110240064034355</v>
      </c>
      <c r="M129" s="23" t="n">
        <v>96</v>
      </c>
      <c r="N129" s="23" t="n">
        <v>97</v>
      </c>
      <c r="O129" s="23" t="n">
        <v>5</v>
      </c>
      <c r="P129" s="23" t="n">
        <v>799</v>
      </c>
      <c r="Q129" s="23" t="n">
        <v>299</v>
      </c>
      <c r="R129" s="27" t="str">
        <f aca="false">IF(G129=_xlfn.MINIFS($G$2:$G$361,$A$2:$A$361,$A129),"BEST","")</f>
        <v/>
      </c>
    </row>
    <row r="130" customFormat="false" ht="15" hidden="false" customHeight="false" outlineLevel="0" collapsed="false">
      <c r="A130" s="22" t="s">
        <v>50</v>
      </c>
      <c r="B130" s="22" t="s">
        <v>46</v>
      </c>
      <c r="C130" s="22" t="s">
        <v>72</v>
      </c>
      <c r="D130" s="22" t="s">
        <v>93</v>
      </c>
      <c r="E130" s="23" t="s">
        <v>94</v>
      </c>
      <c r="F130" s="23" t="n">
        <v>2</v>
      </c>
      <c r="G130" s="25" t="n">
        <v>0.0166178888657561</v>
      </c>
      <c r="H130" s="25" t="n">
        <v>0.00356517898418691</v>
      </c>
      <c r="I130" s="25" t="n">
        <v>0.00257048743909879</v>
      </c>
      <c r="J130" s="24" t="n">
        <v>0.999723845769645</v>
      </c>
      <c r="K130" s="30" t="n">
        <v>2.50202450950374</v>
      </c>
      <c r="L130" s="25" t="n">
        <v>0.0126081688072615</v>
      </c>
      <c r="M130" s="23" t="n">
        <v>96</v>
      </c>
      <c r="N130" s="23" t="n">
        <v>97</v>
      </c>
      <c r="O130" s="23" t="n">
        <v>5</v>
      </c>
      <c r="P130" s="23" t="n">
        <v>799</v>
      </c>
      <c r="Q130" s="23" t="n">
        <v>299</v>
      </c>
      <c r="R130" s="27" t="str">
        <f aca="false">IF(G130=_xlfn.MINIFS($G$2:$G$361,$A$2:$A$361,$A130),"BEST","")</f>
        <v/>
      </c>
    </row>
    <row r="131" customFormat="false" ht="15" hidden="false" customHeight="false" outlineLevel="0" collapsed="false">
      <c r="A131" s="22" t="s">
        <v>50</v>
      </c>
      <c r="B131" s="22" t="s">
        <v>46</v>
      </c>
      <c r="C131" s="22" t="s">
        <v>72</v>
      </c>
      <c r="D131" s="22" t="s">
        <v>93</v>
      </c>
      <c r="E131" s="23" t="s">
        <v>94</v>
      </c>
      <c r="F131" s="23" t="n">
        <v>1</v>
      </c>
      <c r="G131" s="25" t="n">
        <v>0.0254799197645379</v>
      </c>
      <c r="H131" s="25" t="n">
        <v>0.00546642688473449</v>
      </c>
      <c r="I131" s="25" t="n">
        <v>0.00421109892815876</v>
      </c>
      <c r="J131" s="24" t="n">
        <v>0.999350773688793</v>
      </c>
      <c r="K131" s="30" t="n">
        <v>3.33701520266018</v>
      </c>
      <c r="L131" s="25" t="n">
        <v>0.0139296528641778</v>
      </c>
      <c r="M131" s="23" t="n">
        <v>96</v>
      </c>
      <c r="N131" s="23" t="n">
        <v>97</v>
      </c>
      <c r="O131" s="23" t="n">
        <v>5</v>
      </c>
      <c r="P131" s="23" t="n">
        <v>799</v>
      </c>
      <c r="Q131" s="23" t="n">
        <v>299</v>
      </c>
      <c r="R131" s="27" t="str">
        <f aca="false">IF(G131=_xlfn.MINIFS($G$2:$G$361,$A$2:$A$361,$A131),"BEST","")</f>
        <v/>
      </c>
    </row>
    <row r="132" customFormat="false" ht="15" hidden="false" customHeight="false" outlineLevel="0" collapsed="false">
      <c r="A132" s="16" t="s">
        <v>50</v>
      </c>
      <c r="B132" s="16" t="s">
        <v>95</v>
      </c>
      <c r="C132" s="16" t="s">
        <v>68</v>
      </c>
      <c r="D132" s="16" t="s">
        <v>89</v>
      </c>
      <c r="E132" s="17" t="s">
        <v>96</v>
      </c>
      <c r="F132" s="17" t="n">
        <v>2</v>
      </c>
      <c r="G132" s="19" t="n">
        <v>0.0330276229951706</v>
      </c>
      <c r="H132" s="19" t="n">
        <v>0.00708570073799642</v>
      </c>
      <c r="I132" s="19" t="n">
        <v>0.00568396757661684</v>
      </c>
      <c r="J132" s="18" t="n">
        <v>0.998909176119289</v>
      </c>
      <c r="K132" s="29" t="n">
        <v>2.90015757262517</v>
      </c>
      <c r="L132" s="19" t="n">
        <v>0.0212089473411067</v>
      </c>
      <c r="M132" s="17" t="n">
        <v>300</v>
      </c>
      <c r="N132" s="17" t="n">
        <v>301</v>
      </c>
      <c r="O132" s="17" t="n">
        <v>3</v>
      </c>
      <c r="P132" s="17" t="n">
        <v>799</v>
      </c>
      <c r="Q132" s="17" t="n">
        <v>299</v>
      </c>
      <c r="R132" s="27" t="str">
        <f aca="false">IF(G132=_xlfn.MINIFS($G$2:$G$361,$A$2:$A$361,$A132),"BEST","")</f>
        <v/>
      </c>
    </row>
    <row r="133" customFormat="false" ht="15" hidden="false" customHeight="false" outlineLevel="0" collapsed="false">
      <c r="A133" s="16" t="s">
        <v>50</v>
      </c>
      <c r="B133" s="16" t="s">
        <v>109</v>
      </c>
      <c r="C133" s="16" t="s">
        <v>68</v>
      </c>
      <c r="D133" s="16" t="s">
        <v>107</v>
      </c>
      <c r="E133" s="17" t="s">
        <v>108</v>
      </c>
      <c r="F133" s="17" t="n">
        <v>1</v>
      </c>
      <c r="G133" s="19" t="n">
        <v>0.039614309477511</v>
      </c>
      <c r="H133" s="19" t="n">
        <v>0.00849879938199192</v>
      </c>
      <c r="I133" s="19" t="n">
        <v>0.00600207203224928</v>
      </c>
      <c r="J133" s="18" t="n">
        <v>0.99843070648462</v>
      </c>
      <c r="K133" s="29" t="n">
        <v>4.11426386330272</v>
      </c>
      <c r="L133" s="19" t="n">
        <v>0.0323318395122553</v>
      </c>
      <c r="M133" s="17" t="n">
        <v>8</v>
      </c>
      <c r="N133" s="17" t="n">
        <v>4801</v>
      </c>
      <c r="O133" s="17" t="n">
        <v>8</v>
      </c>
      <c r="P133" s="17" t="n">
        <v>640</v>
      </c>
      <c r="Q133" s="17" t="n">
        <v>299</v>
      </c>
      <c r="R133" s="27" t="str">
        <f aca="false">IF(G133=_xlfn.MINIFS($G$2:$G$361,$A$2:$A$361,$A133),"BEST","")</f>
        <v/>
      </c>
    </row>
    <row r="134" customFormat="false" ht="15" hidden="false" customHeight="false" outlineLevel="0" collapsed="false">
      <c r="A134" s="16" t="s">
        <v>50</v>
      </c>
      <c r="B134" s="16" t="s">
        <v>95</v>
      </c>
      <c r="C134" s="16" t="s">
        <v>68</v>
      </c>
      <c r="D134" s="16" t="s">
        <v>89</v>
      </c>
      <c r="E134" s="17" t="s">
        <v>96</v>
      </c>
      <c r="F134" s="17" t="n">
        <v>1</v>
      </c>
      <c r="G134" s="19" t="n">
        <v>0.0407573205530895</v>
      </c>
      <c r="H134" s="19" t="n">
        <v>0.00874401940351598</v>
      </c>
      <c r="I134" s="19" t="n">
        <v>0.00746755033732017</v>
      </c>
      <c r="J134" s="18" t="n">
        <v>0.998338840821333</v>
      </c>
      <c r="K134" s="29" t="n">
        <v>3.67437296675563</v>
      </c>
      <c r="L134" s="19" t="n">
        <v>0.0228999436541854</v>
      </c>
      <c r="M134" s="17" t="n">
        <v>300</v>
      </c>
      <c r="N134" s="17" t="n">
        <v>301</v>
      </c>
      <c r="O134" s="17" t="n">
        <v>3</v>
      </c>
      <c r="P134" s="17" t="n">
        <v>799</v>
      </c>
      <c r="Q134" s="17" t="n">
        <v>299</v>
      </c>
      <c r="R134" s="27" t="str">
        <f aca="false">IF(G134=_xlfn.MINIFS($G$2:$G$361,$A$2:$A$361,$A134),"BEST","")</f>
        <v/>
      </c>
    </row>
    <row r="135" customFormat="false" ht="15" hidden="false" customHeight="false" outlineLevel="0" collapsed="false">
      <c r="A135" s="16" t="s">
        <v>50</v>
      </c>
      <c r="B135" s="16" t="s">
        <v>95</v>
      </c>
      <c r="C135" s="16" t="s">
        <v>68</v>
      </c>
      <c r="D135" s="16" t="s">
        <v>89</v>
      </c>
      <c r="E135" s="17" t="s">
        <v>96</v>
      </c>
      <c r="F135" s="17" t="n">
        <v>0</v>
      </c>
      <c r="G135" s="19" t="n">
        <v>0.0430386390580938</v>
      </c>
      <c r="H135" s="19" t="n">
        <v>0.00923345033279836</v>
      </c>
      <c r="I135" s="19" t="n">
        <v>0.0073161262737095</v>
      </c>
      <c r="J135" s="18" t="n">
        <v>0.998147675548027</v>
      </c>
      <c r="K135" s="29" t="n">
        <v>3.6723557761028</v>
      </c>
      <c r="L135" s="19" t="n">
        <v>0.0289770896410084</v>
      </c>
      <c r="M135" s="17" t="n">
        <v>300</v>
      </c>
      <c r="N135" s="17" t="n">
        <v>301</v>
      </c>
      <c r="O135" s="17" t="n">
        <v>3</v>
      </c>
      <c r="P135" s="17" t="n">
        <v>799</v>
      </c>
      <c r="Q135" s="17" t="n">
        <v>299</v>
      </c>
      <c r="R135" s="27" t="str">
        <f aca="false">IF(G135=_xlfn.MINIFS($G$2:$G$361,$A$2:$A$361,$A135),"BEST","")</f>
        <v/>
      </c>
    </row>
    <row r="136" customFormat="false" ht="15" hidden="false" customHeight="false" outlineLevel="0" collapsed="false">
      <c r="A136" s="16" t="s">
        <v>50</v>
      </c>
      <c r="B136" s="16" t="s">
        <v>95</v>
      </c>
      <c r="C136" s="16" t="s">
        <v>68</v>
      </c>
      <c r="D136" s="16" t="s">
        <v>89</v>
      </c>
      <c r="E136" s="17" t="s">
        <v>96</v>
      </c>
      <c r="F136" s="17" t="n">
        <v>4</v>
      </c>
      <c r="G136" s="19" t="n">
        <v>0.0441244494759663</v>
      </c>
      <c r="H136" s="19" t="n">
        <v>0.00946639860401873</v>
      </c>
      <c r="I136" s="19" t="n">
        <v>0.00743406761088673</v>
      </c>
      <c r="J136" s="18" t="n">
        <v>0.998053032958443</v>
      </c>
      <c r="K136" s="29" t="n">
        <v>3.19619237501727</v>
      </c>
      <c r="L136" s="19" t="n">
        <v>0.0265727235915791</v>
      </c>
      <c r="M136" s="17" t="n">
        <v>300</v>
      </c>
      <c r="N136" s="17" t="n">
        <v>301</v>
      </c>
      <c r="O136" s="17" t="n">
        <v>3</v>
      </c>
      <c r="P136" s="17" t="n">
        <v>799</v>
      </c>
      <c r="Q136" s="17" t="n">
        <v>299</v>
      </c>
      <c r="R136" s="27" t="str">
        <f aca="false">IF(G136=_xlfn.MINIFS($G$2:$G$361,$A$2:$A$361,$A136),"BEST","")</f>
        <v/>
      </c>
    </row>
    <row r="137" customFormat="false" ht="15" hidden="false" customHeight="false" outlineLevel="0" collapsed="false">
      <c r="A137" s="16" t="s">
        <v>50</v>
      </c>
      <c r="B137" s="16" t="s">
        <v>109</v>
      </c>
      <c r="C137" s="16" t="s">
        <v>68</v>
      </c>
      <c r="D137" s="16" t="s">
        <v>107</v>
      </c>
      <c r="E137" s="17" t="s">
        <v>108</v>
      </c>
      <c r="F137" s="17" t="n">
        <v>4</v>
      </c>
      <c r="G137" s="19" t="n">
        <v>0.0458176285943226</v>
      </c>
      <c r="H137" s="19" t="n">
        <v>0.00982965091951996</v>
      </c>
      <c r="I137" s="19" t="n">
        <v>0.00726682391223543</v>
      </c>
      <c r="J137" s="18" t="n">
        <v>0.997900744909993</v>
      </c>
      <c r="K137" s="29" t="n">
        <v>4.07605328723771</v>
      </c>
      <c r="L137" s="19" t="n">
        <v>0.0301336955551014</v>
      </c>
      <c r="M137" s="17" t="n">
        <v>8</v>
      </c>
      <c r="N137" s="17" t="n">
        <v>4801</v>
      </c>
      <c r="O137" s="17" t="n">
        <v>8</v>
      </c>
      <c r="P137" s="17" t="n">
        <v>640</v>
      </c>
      <c r="Q137" s="17" t="n">
        <v>299</v>
      </c>
      <c r="R137" s="27" t="str">
        <f aca="false">IF(G137=_xlfn.MINIFS($G$2:$G$361,$A$2:$A$361,$A137),"BEST","")</f>
        <v/>
      </c>
    </row>
    <row r="138" customFormat="false" ht="15" hidden="false" customHeight="false" outlineLevel="0" collapsed="false">
      <c r="A138" s="16" t="s">
        <v>50</v>
      </c>
      <c r="B138" s="16" t="s">
        <v>109</v>
      </c>
      <c r="C138" s="16" t="s">
        <v>68</v>
      </c>
      <c r="D138" s="16" t="s">
        <v>107</v>
      </c>
      <c r="E138" s="17" t="s">
        <v>108</v>
      </c>
      <c r="F138" s="17" t="n">
        <v>2</v>
      </c>
      <c r="G138" s="19" t="n">
        <v>0.0476118116571191</v>
      </c>
      <c r="H138" s="19" t="n">
        <v>0.0102145724821167</v>
      </c>
      <c r="I138" s="19" t="n">
        <v>0.00734500357103784</v>
      </c>
      <c r="J138" s="18" t="n">
        <v>0.997733115390727</v>
      </c>
      <c r="K138" s="29" t="n">
        <v>4.10215567309514</v>
      </c>
      <c r="L138" s="19" t="n">
        <v>0.0306035396819917</v>
      </c>
      <c r="M138" s="17" t="n">
        <v>8</v>
      </c>
      <c r="N138" s="17" t="n">
        <v>4801</v>
      </c>
      <c r="O138" s="17" t="n">
        <v>8</v>
      </c>
      <c r="P138" s="17" t="n">
        <v>640</v>
      </c>
      <c r="Q138" s="17" t="n">
        <v>299</v>
      </c>
      <c r="R138" s="27" t="str">
        <f aca="false">IF(G138=_xlfn.MINIFS($G$2:$G$361,$A$2:$A$361,$A138),"BEST","")</f>
        <v/>
      </c>
    </row>
    <row r="139" customFormat="false" ht="15" hidden="false" customHeight="false" outlineLevel="0" collapsed="false">
      <c r="A139" s="16" t="s">
        <v>50</v>
      </c>
      <c r="B139" s="16" t="s">
        <v>95</v>
      </c>
      <c r="C139" s="16" t="s">
        <v>68</v>
      </c>
      <c r="D139" s="16" t="s">
        <v>89</v>
      </c>
      <c r="E139" s="17" t="s">
        <v>96</v>
      </c>
      <c r="F139" s="17" t="n">
        <v>3</v>
      </c>
      <c r="G139" s="19" t="n">
        <v>0.0486884522787388</v>
      </c>
      <c r="H139" s="19" t="n">
        <v>0.0104455534778815</v>
      </c>
      <c r="I139" s="19" t="n">
        <v>0.00854175961614702</v>
      </c>
      <c r="J139" s="18" t="n">
        <v>0.997629434614701</v>
      </c>
      <c r="K139" s="29" t="n">
        <v>3.93959901536925</v>
      </c>
      <c r="L139" s="19" t="n">
        <v>0.0306949091600179</v>
      </c>
      <c r="M139" s="17" t="n">
        <v>300</v>
      </c>
      <c r="N139" s="17" t="n">
        <v>301</v>
      </c>
      <c r="O139" s="17" t="n">
        <v>3</v>
      </c>
      <c r="P139" s="17" t="n">
        <v>799</v>
      </c>
      <c r="Q139" s="17" t="n">
        <v>299</v>
      </c>
      <c r="R139" s="27" t="str">
        <f aca="false">IF(G139=_xlfn.MINIFS($G$2:$G$361,$A$2:$A$361,$A139),"BEST","")</f>
        <v/>
      </c>
    </row>
    <row r="140" customFormat="false" ht="15" hidden="false" customHeight="false" outlineLevel="0" collapsed="false">
      <c r="A140" s="16" t="s">
        <v>50</v>
      </c>
      <c r="B140" s="16" t="s">
        <v>100</v>
      </c>
      <c r="C140" s="16" t="s">
        <v>68</v>
      </c>
      <c r="D140" s="16" t="s">
        <v>98</v>
      </c>
      <c r="E140" s="17" t="s">
        <v>99</v>
      </c>
      <c r="F140" s="17" t="n">
        <v>2</v>
      </c>
      <c r="G140" s="19" t="n">
        <v>0.0524904590704208</v>
      </c>
      <c r="H140" s="19" t="n">
        <v>0.0112612307772629</v>
      </c>
      <c r="I140" s="19" t="n">
        <v>0.00837562785531518</v>
      </c>
      <c r="J140" s="18" t="n">
        <v>0.997244751706576</v>
      </c>
      <c r="K140" s="29" t="n">
        <v>3.47868178807361</v>
      </c>
      <c r="L140" s="19" t="n">
        <v>0.0394848756899645</v>
      </c>
      <c r="M140" s="17" t="n">
        <v>4</v>
      </c>
      <c r="N140" s="17"/>
      <c r="O140" s="17" t="n">
        <v>4</v>
      </c>
      <c r="P140" s="17" t="n">
        <v>799</v>
      </c>
      <c r="Q140" s="17" t="n">
        <v>299</v>
      </c>
      <c r="R140" s="27" t="str">
        <f aca="false">IF(G140=_xlfn.MINIFS($G$2:$G$361,$A$2:$A$361,$A140),"BEST","")</f>
        <v/>
      </c>
    </row>
    <row r="141" customFormat="false" ht="15" hidden="false" customHeight="false" outlineLevel="0" collapsed="false">
      <c r="A141" s="16" t="s">
        <v>50</v>
      </c>
      <c r="B141" s="16" t="s">
        <v>100</v>
      </c>
      <c r="C141" s="16" t="s">
        <v>68</v>
      </c>
      <c r="D141" s="16" t="s">
        <v>98</v>
      </c>
      <c r="E141" s="17" t="s">
        <v>99</v>
      </c>
      <c r="F141" s="17" t="n">
        <v>0</v>
      </c>
      <c r="G141" s="19" t="n">
        <v>0.052896508215602</v>
      </c>
      <c r="H141" s="19" t="n">
        <v>0.0113483440014902</v>
      </c>
      <c r="I141" s="19" t="n">
        <v>0.00825829783797074</v>
      </c>
      <c r="J141" s="18" t="n">
        <v>0.997201959418597</v>
      </c>
      <c r="K141" s="29" t="n">
        <v>3.31084015424086</v>
      </c>
      <c r="L141" s="19" t="n">
        <v>0.046472208987694</v>
      </c>
      <c r="M141" s="17" t="n">
        <v>4</v>
      </c>
      <c r="N141" s="17"/>
      <c r="O141" s="17" t="n">
        <v>4</v>
      </c>
      <c r="P141" s="17" t="n">
        <v>799</v>
      </c>
      <c r="Q141" s="17" t="n">
        <v>299</v>
      </c>
      <c r="R141" s="27" t="str">
        <f aca="false">IF(G141=_xlfn.MINIFS($G$2:$G$361,$A$2:$A$361,$A141),"BEST","")</f>
        <v/>
      </c>
    </row>
    <row r="142" customFormat="false" ht="15" hidden="false" customHeight="false" outlineLevel="0" collapsed="false">
      <c r="A142" s="16" t="s">
        <v>50</v>
      </c>
      <c r="B142" s="16" t="s">
        <v>100</v>
      </c>
      <c r="C142" s="16" t="s">
        <v>68</v>
      </c>
      <c r="D142" s="16" t="s">
        <v>98</v>
      </c>
      <c r="E142" s="17" t="s">
        <v>99</v>
      </c>
      <c r="F142" s="17" t="n">
        <v>4</v>
      </c>
      <c r="G142" s="19" t="n">
        <v>0.0529436654280018</v>
      </c>
      <c r="H142" s="19" t="n">
        <v>0.0113584610448739</v>
      </c>
      <c r="I142" s="19" t="n">
        <v>0.00822664466684921</v>
      </c>
      <c r="J142" s="18" t="n">
        <v>0.997196968291048</v>
      </c>
      <c r="K142" s="29" t="n">
        <v>3.35778412214179</v>
      </c>
      <c r="L142" s="19" t="n">
        <v>0.0405799479401825</v>
      </c>
      <c r="M142" s="17" t="n">
        <v>4</v>
      </c>
      <c r="N142" s="17"/>
      <c r="O142" s="17" t="n">
        <v>4</v>
      </c>
      <c r="P142" s="17" t="n">
        <v>799</v>
      </c>
      <c r="Q142" s="17" t="n">
        <v>299</v>
      </c>
      <c r="R142" s="27" t="str">
        <f aca="false">IF(G142=_xlfn.MINIFS($G$2:$G$361,$A$2:$A$361,$A142),"BEST","")</f>
        <v/>
      </c>
    </row>
    <row r="143" customFormat="false" ht="15" hidden="false" customHeight="false" outlineLevel="0" collapsed="false">
      <c r="A143" s="22" t="s">
        <v>50</v>
      </c>
      <c r="B143" s="22" t="s">
        <v>116</v>
      </c>
      <c r="C143" s="22" t="s">
        <v>72</v>
      </c>
      <c r="D143" s="22" t="s">
        <v>93</v>
      </c>
      <c r="E143" s="23" t="s">
        <v>94</v>
      </c>
      <c r="F143" s="23" t="n">
        <v>4</v>
      </c>
      <c r="G143" s="25" t="n">
        <v>0.0530315554464978</v>
      </c>
      <c r="H143" s="25" t="n">
        <v>0.0113773168483634</v>
      </c>
      <c r="I143" s="25" t="n">
        <v>0.00854023512596883</v>
      </c>
      <c r="J143" s="24" t="n">
        <v>0.997187654126925</v>
      </c>
      <c r="K143" s="30" t="n">
        <v>4.89137460929972</v>
      </c>
      <c r="L143" s="25" t="n">
        <v>0.0405116364609707</v>
      </c>
      <c r="M143" s="23" t="n">
        <v>16</v>
      </c>
      <c r="N143" s="23" t="n">
        <v>17</v>
      </c>
      <c r="O143" s="23" t="n">
        <v>5</v>
      </c>
      <c r="P143" s="23" t="n">
        <v>799</v>
      </c>
      <c r="Q143" s="23" t="n">
        <v>299</v>
      </c>
      <c r="R143" s="27" t="str">
        <f aca="false">IF(G143=_xlfn.MINIFS($G$2:$G$361,$A$2:$A$361,$A143),"BEST","")</f>
        <v/>
      </c>
    </row>
    <row r="144" customFormat="false" ht="15" hidden="false" customHeight="false" outlineLevel="0" collapsed="false">
      <c r="A144" s="16" t="s">
        <v>50</v>
      </c>
      <c r="B144" s="16" t="s">
        <v>101</v>
      </c>
      <c r="C144" s="16" t="s">
        <v>68</v>
      </c>
      <c r="D144" s="16" t="s">
        <v>98</v>
      </c>
      <c r="E144" s="17" t="s">
        <v>99</v>
      </c>
      <c r="F144" s="17" t="n">
        <v>0</v>
      </c>
      <c r="G144" s="19" t="n">
        <v>0.0548195418427372</v>
      </c>
      <c r="H144" s="19" t="n">
        <v>0.0117609089866536</v>
      </c>
      <c r="I144" s="19" t="n">
        <v>0.00881415934968274</v>
      </c>
      <c r="J144" s="18" t="n">
        <v>0.996994817832152</v>
      </c>
      <c r="K144" s="29" t="n">
        <v>4.10441826125421</v>
      </c>
      <c r="L144" s="19" t="n">
        <v>0.0424123163748058</v>
      </c>
      <c r="M144" s="17" t="n">
        <v>4</v>
      </c>
      <c r="N144" s="17"/>
      <c r="O144" s="17" t="n">
        <v>4</v>
      </c>
      <c r="P144" s="17" t="n">
        <v>799</v>
      </c>
      <c r="Q144" s="17" t="n">
        <v>299</v>
      </c>
      <c r="R144" s="27" t="str">
        <f aca="false">IF(G144=_xlfn.MINIFS($G$2:$G$361,$A$2:$A$361,$A144),"BEST","")</f>
        <v/>
      </c>
    </row>
    <row r="145" customFormat="false" ht="15" hidden="false" customHeight="false" outlineLevel="0" collapsed="false">
      <c r="A145" s="16" t="s">
        <v>50</v>
      </c>
      <c r="B145" s="16" t="s">
        <v>101</v>
      </c>
      <c r="C145" s="16" t="s">
        <v>68</v>
      </c>
      <c r="D145" s="16" t="s">
        <v>98</v>
      </c>
      <c r="E145" s="17" t="s">
        <v>99</v>
      </c>
      <c r="F145" s="17" t="n">
        <v>1</v>
      </c>
      <c r="G145" s="19" t="n">
        <v>0.0548195418427372</v>
      </c>
      <c r="H145" s="19" t="n">
        <v>0.0117609089866536</v>
      </c>
      <c r="I145" s="19" t="n">
        <v>0.00881415934968274</v>
      </c>
      <c r="J145" s="18" t="n">
        <v>0.996994817832152</v>
      </c>
      <c r="K145" s="29" t="n">
        <v>4.10441826125421</v>
      </c>
      <c r="L145" s="19" t="n">
        <v>0.0424123163748058</v>
      </c>
      <c r="M145" s="17" t="n">
        <v>4</v>
      </c>
      <c r="N145" s="17"/>
      <c r="O145" s="17" t="n">
        <v>4</v>
      </c>
      <c r="P145" s="17" t="n">
        <v>799</v>
      </c>
      <c r="Q145" s="17" t="n">
        <v>299</v>
      </c>
      <c r="R145" s="27" t="str">
        <f aca="false">IF(G145=_xlfn.MINIFS($G$2:$G$361,$A$2:$A$361,$A145),"BEST","")</f>
        <v/>
      </c>
    </row>
    <row r="146" customFormat="false" ht="15" hidden="false" customHeight="false" outlineLevel="0" collapsed="false">
      <c r="A146" s="16" t="s">
        <v>50</v>
      </c>
      <c r="B146" s="16" t="s">
        <v>101</v>
      </c>
      <c r="C146" s="16" t="s">
        <v>68</v>
      </c>
      <c r="D146" s="16" t="s">
        <v>98</v>
      </c>
      <c r="E146" s="17" t="s">
        <v>99</v>
      </c>
      <c r="F146" s="17" t="n">
        <v>2</v>
      </c>
      <c r="G146" s="19" t="n">
        <v>0.0548195418427372</v>
      </c>
      <c r="H146" s="19" t="n">
        <v>0.0117609089866536</v>
      </c>
      <c r="I146" s="19" t="n">
        <v>0.00881415934968274</v>
      </c>
      <c r="J146" s="18" t="n">
        <v>0.996994817832152</v>
      </c>
      <c r="K146" s="29" t="n">
        <v>4.10441826125421</v>
      </c>
      <c r="L146" s="19" t="n">
        <v>0.0424123163748058</v>
      </c>
      <c r="M146" s="17" t="n">
        <v>4</v>
      </c>
      <c r="N146" s="17"/>
      <c r="O146" s="17" t="n">
        <v>4</v>
      </c>
      <c r="P146" s="17" t="n">
        <v>799</v>
      </c>
      <c r="Q146" s="17" t="n">
        <v>299</v>
      </c>
      <c r="R146" s="27" t="str">
        <f aca="false">IF(G146=_xlfn.MINIFS($G$2:$G$361,$A$2:$A$361,$A146),"BEST","")</f>
        <v/>
      </c>
    </row>
    <row r="147" customFormat="false" ht="15" hidden="false" customHeight="false" outlineLevel="0" collapsed="false">
      <c r="A147" s="16" t="s">
        <v>50</v>
      </c>
      <c r="B147" s="16" t="s">
        <v>101</v>
      </c>
      <c r="C147" s="16" t="s">
        <v>68</v>
      </c>
      <c r="D147" s="16" t="s">
        <v>98</v>
      </c>
      <c r="E147" s="17" t="s">
        <v>99</v>
      </c>
      <c r="F147" s="17" t="n">
        <v>3</v>
      </c>
      <c r="G147" s="19" t="n">
        <v>0.0548195418427372</v>
      </c>
      <c r="H147" s="19" t="n">
        <v>0.0117609089866536</v>
      </c>
      <c r="I147" s="19" t="n">
        <v>0.00881415934968274</v>
      </c>
      <c r="J147" s="18" t="n">
        <v>0.996994817832152</v>
      </c>
      <c r="K147" s="29" t="n">
        <v>4.10441826125421</v>
      </c>
      <c r="L147" s="19" t="n">
        <v>0.0424123163748058</v>
      </c>
      <c r="M147" s="17" t="n">
        <v>4</v>
      </c>
      <c r="N147" s="17"/>
      <c r="O147" s="17" t="n">
        <v>4</v>
      </c>
      <c r="P147" s="17" t="n">
        <v>799</v>
      </c>
      <c r="Q147" s="17" t="n">
        <v>299</v>
      </c>
      <c r="R147" s="27" t="str">
        <f aca="false">IF(G147=_xlfn.MINIFS($G$2:$G$361,$A$2:$A$361,$A147),"BEST","")</f>
        <v/>
      </c>
    </row>
    <row r="148" customFormat="false" ht="15" hidden="false" customHeight="false" outlineLevel="0" collapsed="false">
      <c r="A148" s="16" t="s">
        <v>50</v>
      </c>
      <c r="B148" s="16" t="s">
        <v>101</v>
      </c>
      <c r="C148" s="16" t="s">
        <v>68</v>
      </c>
      <c r="D148" s="16" t="s">
        <v>98</v>
      </c>
      <c r="E148" s="17" t="s">
        <v>99</v>
      </c>
      <c r="F148" s="17" t="n">
        <v>4</v>
      </c>
      <c r="G148" s="19" t="n">
        <v>0.0548195418427372</v>
      </c>
      <c r="H148" s="19" t="n">
        <v>0.0117609089866536</v>
      </c>
      <c r="I148" s="19" t="n">
        <v>0.00881415934968274</v>
      </c>
      <c r="J148" s="18" t="n">
        <v>0.996994817832152</v>
      </c>
      <c r="K148" s="29" t="n">
        <v>4.10441826125421</v>
      </c>
      <c r="L148" s="19" t="n">
        <v>0.0424123163748058</v>
      </c>
      <c r="M148" s="17" t="n">
        <v>4</v>
      </c>
      <c r="N148" s="17"/>
      <c r="O148" s="17" t="n">
        <v>4</v>
      </c>
      <c r="P148" s="17" t="n">
        <v>799</v>
      </c>
      <c r="Q148" s="17" t="n">
        <v>299</v>
      </c>
      <c r="R148" s="27" t="str">
        <f aca="false">IF(G148=_xlfn.MINIFS($G$2:$G$361,$A$2:$A$361,$A148),"BEST","")</f>
        <v/>
      </c>
    </row>
    <row r="149" customFormat="false" ht="15" hidden="false" customHeight="false" outlineLevel="0" collapsed="false">
      <c r="A149" s="16" t="s">
        <v>50</v>
      </c>
      <c r="B149" s="16" t="s">
        <v>97</v>
      </c>
      <c r="C149" s="16" t="s">
        <v>68</v>
      </c>
      <c r="D149" s="16" t="s">
        <v>98</v>
      </c>
      <c r="E149" s="17" t="s">
        <v>99</v>
      </c>
      <c r="F149" s="17" t="n">
        <v>0</v>
      </c>
      <c r="G149" s="19" t="n">
        <v>0.0552765436161043</v>
      </c>
      <c r="H149" s="19" t="n">
        <v>0.0118589535175387</v>
      </c>
      <c r="I149" s="19" t="n">
        <v>0.0089249871122267</v>
      </c>
      <c r="J149" s="18" t="n">
        <v>0.996944503725857</v>
      </c>
      <c r="K149" s="29" t="n">
        <v>4.20358477497903</v>
      </c>
      <c r="L149" s="19" t="n">
        <v>0.0356085629420949</v>
      </c>
      <c r="M149" s="17" t="n">
        <v>4</v>
      </c>
      <c r="N149" s="17"/>
      <c r="O149" s="17" t="n">
        <v>4</v>
      </c>
      <c r="P149" s="17" t="n">
        <v>799</v>
      </c>
      <c r="Q149" s="17" t="n">
        <v>299</v>
      </c>
      <c r="R149" s="27" t="str">
        <f aca="false">IF(G149=_xlfn.MINIFS($G$2:$G$361,$A$2:$A$361,$A149),"BEST","")</f>
        <v/>
      </c>
    </row>
    <row r="150" customFormat="false" ht="15" hidden="false" customHeight="false" outlineLevel="0" collapsed="false">
      <c r="A150" s="16" t="s">
        <v>50</v>
      </c>
      <c r="B150" s="16" t="s">
        <v>97</v>
      </c>
      <c r="C150" s="16" t="s">
        <v>68</v>
      </c>
      <c r="D150" s="16" t="s">
        <v>98</v>
      </c>
      <c r="E150" s="17" t="s">
        <v>99</v>
      </c>
      <c r="F150" s="17" t="n">
        <v>4</v>
      </c>
      <c r="G150" s="19" t="n">
        <v>0.0558482487292113</v>
      </c>
      <c r="H150" s="19" t="n">
        <v>0.0119816063449145</v>
      </c>
      <c r="I150" s="19" t="n">
        <v>0.00896416478527351</v>
      </c>
      <c r="J150" s="18" t="n">
        <v>0.99688097311388</v>
      </c>
      <c r="K150" s="29" t="n">
        <v>4.2784774935979</v>
      </c>
      <c r="L150" s="19" t="n">
        <v>0.0373769873939116</v>
      </c>
      <c r="M150" s="17" t="n">
        <v>4</v>
      </c>
      <c r="N150" s="17"/>
      <c r="O150" s="17" t="n">
        <v>4</v>
      </c>
      <c r="P150" s="17" t="n">
        <v>799</v>
      </c>
      <c r="Q150" s="17" t="n">
        <v>299</v>
      </c>
      <c r="R150" s="27" t="str">
        <f aca="false">IF(G150=_xlfn.MINIFS($G$2:$G$361,$A$2:$A$361,$A150),"BEST","")</f>
        <v/>
      </c>
    </row>
    <row r="151" customFormat="false" ht="15" hidden="false" customHeight="false" outlineLevel="0" collapsed="false">
      <c r="A151" s="16" t="s">
        <v>50</v>
      </c>
      <c r="B151" s="16" t="s">
        <v>97</v>
      </c>
      <c r="C151" s="16" t="s">
        <v>68</v>
      </c>
      <c r="D151" s="16" t="s">
        <v>98</v>
      </c>
      <c r="E151" s="17" t="s">
        <v>99</v>
      </c>
      <c r="F151" s="17" t="n">
        <v>2</v>
      </c>
      <c r="G151" s="19" t="n">
        <v>0.0563343933613158</v>
      </c>
      <c r="H151" s="19" t="n">
        <v>0.0120859031445655</v>
      </c>
      <c r="I151" s="19" t="n">
        <v>0.00922173501206197</v>
      </c>
      <c r="J151" s="18" t="n">
        <v>0.996826436124613</v>
      </c>
      <c r="K151" s="29" t="n">
        <v>4.32758630392218</v>
      </c>
      <c r="L151" s="19" t="n">
        <v>0.035347078654368</v>
      </c>
      <c r="M151" s="17" t="n">
        <v>4</v>
      </c>
      <c r="N151" s="17"/>
      <c r="O151" s="17" t="n">
        <v>4</v>
      </c>
      <c r="P151" s="17" t="n">
        <v>799</v>
      </c>
      <c r="Q151" s="17" t="n">
        <v>299</v>
      </c>
      <c r="R151" s="27" t="str">
        <f aca="false">IF(G151=_xlfn.MINIFS($G$2:$G$361,$A$2:$A$361,$A151),"BEST","")</f>
        <v/>
      </c>
    </row>
    <row r="152" customFormat="false" ht="15" hidden="false" customHeight="false" outlineLevel="0" collapsed="false">
      <c r="A152" s="16" t="s">
        <v>50</v>
      </c>
      <c r="B152" s="16" t="s">
        <v>97</v>
      </c>
      <c r="C152" s="16" t="s">
        <v>68</v>
      </c>
      <c r="D152" s="16" t="s">
        <v>98</v>
      </c>
      <c r="E152" s="17" t="s">
        <v>99</v>
      </c>
      <c r="F152" s="17" t="n">
        <v>1</v>
      </c>
      <c r="G152" s="19" t="n">
        <v>0.0565819555443121</v>
      </c>
      <c r="H152" s="19" t="n">
        <v>0.0121390147942598</v>
      </c>
      <c r="I152" s="19" t="n">
        <v>0.00915776012161527</v>
      </c>
      <c r="J152" s="18" t="n">
        <v>0.996798482306782</v>
      </c>
      <c r="K152" s="29" t="n">
        <v>4.2426330820728</v>
      </c>
      <c r="L152" s="19" t="n">
        <v>0.0368123972184695</v>
      </c>
      <c r="M152" s="17" t="n">
        <v>4</v>
      </c>
      <c r="N152" s="17"/>
      <c r="O152" s="17" t="n">
        <v>4</v>
      </c>
      <c r="P152" s="17" t="n">
        <v>799</v>
      </c>
      <c r="Q152" s="17" t="n">
        <v>299</v>
      </c>
      <c r="R152" s="27" t="str">
        <f aca="false">IF(G152=_xlfn.MINIFS($G$2:$G$361,$A$2:$A$361,$A152),"BEST","")</f>
        <v/>
      </c>
    </row>
    <row r="153" customFormat="false" ht="15" hidden="false" customHeight="false" outlineLevel="0" collapsed="false">
      <c r="A153" s="16" t="s">
        <v>50</v>
      </c>
      <c r="B153" s="16" t="s">
        <v>97</v>
      </c>
      <c r="C153" s="16" t="s">
        <v>68</v>
      </c>
      <c r="D153" s="16" t="s">
        <v>98</v>
      </c>
      <c r="E153" s="17" t="s">
        <v>99</v>
      </c>
      <c r="F153" s="17" t="n">
        <v>3</v>
      </c>
      <c r="G153" s="19" t="n">
        <v>0.0568623275394766</v>
      </c>
      <c r="H153" s="19" t="n">
        <v>0.0121991654158574</v>
      </c>
      <c r="I153" s="19" t="n">
        <v>0.00926204193081042</v>
      </c>
      <c r="J153" s="18" t="n">
        <v>0.996766675706793</v>
      </c>
      <c r="K153" s="29" t="n">
        <v>4.22426155189278</v>
      </c>
      <c r="L153" s="19" t="n">
        <v>0.0342043578864343</v>
      </c>
      <c r="M153" s="17" t="n">
        <v>4</v>
      </c>
      <c r="N153" s="17"/>
      <c r="O153" s="17" t="n">
        <v>4</v>
      </c>
      <c r="P153" s="17" t="n">
        <v>799</v>
      </c>
      <c r="Q153" s="17" t="n">
        <v>299</v>
      </c>
      <c r="R153" s="27" t="str">
        <f aca="false">IF(G153=_xlfn.MINIFS($G$2:$G$361,$A$2:$A$361,$A153),"BEST","")</f>
        <v/>
      </c>
    </row>
    <row r="154" customFormat="false" ht="15" hidden="false" customHeight="false" outlineLevel="0" collapsed="false">
      <c r="A154" s="16" t="s">
        <v>50</v>
      </c>
      <c r="B154" s="16" t="s">
        <v>100</v>
      </c>
      <c r="C154" s="16" t="s">
        <v>68</v>
      </c>
      <c r="D154" s="16" t="s">
        <v>98</v>
      </c>
      <c r="E154" s="17" t="s">
        <v>99</v>
      </c>
      <c r="F154" s="17" t="n">
        <v>3</v>
      </c>
      <c r="G154" s="19" t="n">
        <v>0.0568691468447482</v>
      </c>
      <c r="H154" s="19" t="n">
        <v>0.012200628420216</v>
      </c>
      <c r="I154" s="19" t="n">
        <v>0.00873696236674127</v>
      </c>
      <c r="J154" s="18" t="n">
        <v>0.996765900137151</v>
      </c>
      <c r="K154" s="29" t="n">
        <v>3.40985689079396</v>
      </c>
      <c r="L154" s="19" t="n">
        <v>0.0502832107653429</v>
      </c>
      <c r="M154" s="17" t="n">
        <v>4</v>
      </c>
      <c r="N154" s="17"/>
      <c r="O154" s="17" t="n">
        <v>4</v>
      </c>
      <c r="P154" s="17" t="n">
        <v>799</v>
      </c>
      <c r="Q154" s="17" t="n">
        <v>299</v>
      </c>
      <c r="R154" s="27" t="str">
        <f aca="false">IF(G154=_xlfn.MINIFS($G$2:$G$361,$A$2:$A$361,$A154),"BEST","")</f>
        <v/>
      </c>
    </row>
    <row r="155" customFormat="false" ht="15" hidden="false" customHeight="false" outlineLevel="0" collapsed="false">
      <c r="A155" s="16" t="s">
        <v>50</v>
      </c>
      <c r="B155" s="16" t="s">
        <v>100</v>
      </c>
      <c r="C155" s="16" t="s">
        <v>68</v>
      </c>
      <c r="D155" s="16" t="s">
        <v>98</v>
      </c>
      <c r="E155" s="17" t="s">
        <v>99</v>
      </c>
      <c r="F155" s="17" t="n">
        <v>1</v>
      </c>
      <c r="G155" s="19" t="n">
        <v>0.057157197758687</v>
      </c>
      <c r="H155" s="19" t="n">
        <v>0.0122624264664689</v>
      </c>
      <c r="I155" s="19" t="n">
        <v>0.00879534699128288</v>
      </c>
      <c r="J155" s="18" t="n">
        <v>0.996733054744374</v>
      </c>
      <c r="K155" s="29" t="n">
        <v>3.55764529097931</v>
      </c>
      <c r="L155" s="19" t="n">
        <v>0.0636508040537646</v>
      </c>
      <c r="M155" s="17" t="n">
        <v>4</v>
      </c>
      <c r="N155" s="17"/>
      <c r="O155" s="17" t="n">
        <v>4</v>
      </c>
      <c r="P155" s="17" t="n">
        <v>799</v>
      </c>
      <c r="Q155" s="17" t="n">
        <v>299</v>
      </c>
      <c r="R155" s="27" t="str">
        <f aca="false">IF(G155=_xlfn.MINIFS($G$2:$G$361,$A$2:$A$361,$A155),"BEST","")</f>
        <v/>
      </c>
    </row>
    <row r="156" customFormat="false" ht="15" hidden="false" customHeight="false" outlineLevel="0" collapsed="false">
      <c r="A156" s="16" t="s">
        <v>50</v>
      </c>
      <c r="B156" s="16" t="s">
        <v>109</v>
      </c>
      <c r="C156" s="16" t="s">
        <v>68</v>
      </c>
      <c r="D156" s="16" t="s">
        <v>107</v>
      </c>
      <c r="E156" s="17" t="s">
        <v>108</v>
      </c>
      <c r="F156" s="17" t="n">
        <v>0</v>
      </c>
      <c r="G156" s="19" t="n">
        <v>0.0614049174965092</v>
      </c>
      <c r="H156" s="19" t="n">
        <v>0.0131737264072938</v>
      </c>
      <c r="I156" s="19" t="n">
        <v>0.0101206417066607</v>
      </c>
      <c r="J156" s="18" t="n">
        <v>0.996229436107247</v>
      </c>
      <c r="K156" s="29" t="n">
        <v>5.04634524258163</v>
      </c>
      <c r="L156" s="19" t="n">
        <v>0.0454112239308948</v>
      </c>
      <c r="M156" s="17" t="n">
        <v>8</v>
      </c>
      <c r="N156" s="17" t="n">
        <v>4801</v>
      </c>
      <c r="O156" s="17" t="n">
        <v>8</v>
      </c>
      <c r="P156" s="17" t="n">
        <v>640</v>
      </c>
      <c r="Q156" s="17" t="n">
        <v>299</v>
      </c>
      <c r="R156" s="27" t="str">
        <f aca="false">IF(G156=_xlfn.MINIFS($G$2:$G$361,$A$2:$A$361,$A156),"BEST","")</f>
        <v/>
      </c>
    </row>
    <row r="157" customFormat="false" ht="15" hidden="false" customHeight="false" outlineLevel="0" collapsed="false">
      <c r="A157" s="16" t="s">
        <v>50</v>
      </c>
      <c r="B157" s="16" t="s">
        <v>118</v>
      </c>
      <c r="C157" s="16" t="s">
        <v>68</v>
      </c>
      <c r="D157" s="16" t="s">
        <v>89</v>
      </c>
      <c r="E157" s="17" t="s">
        <v>119</v>
      </c>
      <c r="F157" s="17" t="n">
        <v>0</v>
      </c>
      <c r="G157" s="19" t="n">
        <v>0.0644248778147532</v>
      </c>
      <c r="H157" s="19" t="n">
        <v>0.0138216245336237</v>
      </c>
      <c r="I157" s="19" t="n">
        <v>0.0110769488233352</v>
      </c>
      <c r="J157" s="18" t="n">
        <v>0.995849435118554</v>
      </c>
      <c r="K157" s="29" t="n">
        <v>6.08485292605822</v>
      </c>
      <c r="L157" s="19" t="n">
        <v>0.0488198612276108</v>
      </c>
      <c r="M157" s="17" t="n">
        <v>4</v>
      </c>
      <c r="N157" s="17" t="n">
        <v>5</v>
      </c>
      <c r="O157" s="17" t="n">
        <v>4</v>
      </c>
      <c r="P157" s="17" t="n">
        <v>799</v>
      </c>
      <c r="Q157" s="17" t="n">
        <v>299</v>
      </c>
      <c r="R157" s="27" t="str">
        <f aca="false">IF(G157=_xlfn.MINIFS($G$2:$G$361,$A$2:$A$361,$A157),"BEST","")</f>
        <v/>
      </c>
    </row>
    <row r="158" customFormat="false" ht="15" hidden="false" customHeight="false" outlineLevel="0" collapsed="false">
      <c r="A158" s="16" t="s">
        <v>50</v>
      </c>
      <c r="B158" s="16" t="s">
        <v>118</v>
      </c>
      <c r="C158" s="16" t="s">
        <v>68</v>
      </c>
      <c r="D158" s="16" t="s">
        <v>89</v>
      </c>
      <c r="E158" s="17" t="s">
        <v>119</v>
      </c>
      <c r="F158" s="17" t="n">
        <v>1</v>
      </c>
      <c r="G158" s="19" t="n">
        <v>0.0644248778147532</v>
      </c>
      <c r="H158" s="19" t="n">
        <v>0.0138216245336237</v>
      </c>
      <c r="I158" s="19" t="n">
        <v>0.0110769488233352</v>
      </c>
      <c r="J158" s="18" t="n">
        <v>0.995849435118554</v>
      </c>
      <c r="K158" s="29" t="n">
        <v>6.08485292605822</v>
      </c>
      <c r="L158" s="19" t="n">
        <v>0.0488198612276108</v>
      </c>
      <c r="M158" s="17" t="n">
        <v>4</v>
      </c>
      <c r="N158" s="17" t="n">
        <v>5</v>
      </c>
      <c r="O158" s="17" t="n">
        <v>4</v>
      </c>
      <c r="P158" s="17" t="n">
        <v>799</v>
      </c>
      <c r="Q158" s="17" t="n">
        <v>299</v>
      </c>
      <c r="R158" s="27" t="str">
        <f aca="false">IF(G158=_xlfn.MINIFS($G$2:$G$361,$A$2:$A$361,$A158),"BEST","")</f>
        <v/>
      </c>
    </row>
    <row r="159" customFormat="false" ht="15" hidden="false" customHeight="false" outlineLevel="0" collapsed="false">
      <c r="A159" s="16" t="s">
        <v>50</v>
      </c>
      <c r="B159" s="16" t="s">
        <v>118</v>
      </c>
      <c r="C159" s="16" t="s">
        <v>68</v>
      </c>
      <c r="D159" s="16" t="s">
        <v>89</v>
      </c>
      <c r="E159" s="17" t="s">
        <v>119</v>
      </c>
      <c r="F159" s="17" t="n">
        <v>2</v>
      </c>
      <c r="G159" s="19" t="n">
        <v>0.0644248778147532</v>
      </c>
      <c r="H159" s="19" t="n">
        <v>0.0138216245336237</v>
      </c>
      <c r="I159" s="19" t="n">
        <v>0.0110769488233352</v>
      </c>
      <c r="J159" s="18" t="n">
        <v>0.995849435118554</v>
      </c>
      <c r="K159" s="29" t="n">
        <v>6.08485292605822</v>
      </c>
      <c r="L159" s="19" t="n">
        <v>0.0488198612276108</v>
      </c>
      <c r="M159" s="17" t="n">
        <v>4</v>
      </c>
      <c r="N159" s="17" t="n">
        <v>5</v>
      </c>
      <c r="O159" s="17" t="n">
        <v>4</v>
      </c>
      <c r="P159" s="17" t="n">
        <v>799</v>
      </c>
      <c r="Q159" s="17" t="n">
        <v>299</v>
      </c>
      <c r="R159" s="27" t="str">
        <f aca="false">IF(G159=_xlfn.MINIFS($G$2:$G$361,$A$2:$A$361,$A159),"BEST","")</f>
        <v/>
      </c>
    </row>
    <row r="160" customFormat="false" ht="15" hidden="false" customHeight="false" outlineLevel="0" collapsed="false">
      <c r="A160" s="16" t="s">
        <v>50</v>
      </c>
      <c r="B160" s="16" t="s">
        <v>118</v>
      </c>
      <c r="C160" s="16" t="s">
        <v>68</v>
      </c>
      <c r="D160" s="16" t="s">
        <v>89</v>
      </c>
      <c r="E160" s="17" t="s">
        <v>119</v>
      </c>
      <c r="F160" s="17" t="n">
        <v>3</v>
      </c>
      <c r="G160" s="19" t="n">
        <v>0.0644248778147532</v>
      </c>
      <c r="H160" s="19" t="n">
        <v>0.0138216245336237</v>
      </c>
      <c r="I160" s="19" t="n">
        <v>0.0110769488233352</v>
      </c>
      <c r="J160" s="18" t="n">
        <v>0.995849435118554</v>
      </c>
      <c r="K160" s="29" t="n">
        <v>6.08485292605822</v>
      </c>
      <c r="L160" s="19" t="n">
        <v>0.0488198612276108</v>
      </c>
      <c r="M160" s="17" t="n">
        <v>4</v>
      </c>
      <c r="N160" s="17" t="n">
        <v>5</v>
      </c>
      <c r="O160" s="17" t="n">
        <v>4</v>
      </c>
      <c r="P160" s="17" t="n">
        <v>799</v>
      </c>
      <c r="Q160" s="17" t="n">
        <v>299</v>
      </c>
      <c r="R160" s="27" t="str">
        <f aca="false">IF(G160=_xlfn.MINIFS($G$2:$G$361,$A$2:$A$361,$A160),"BEST","")</f>
        <v/>
      </c>
    </row>
    <row r="161" customFormat="false" ht="15" hidden="false" customHeight="false" outlineLevel="0" collapsed="false">
      <c r="A161" s="16" t="s">
        <v>50</v>
      </c>
      <c r="B161" s="16" t="s">
        <v>118</v>
      </c>
      <c r="C161" s="16" t="s">
        <v>68</v>
      </c>
      <c r="D161" s="16" t="s">
        <v>89</v>
      </c>
      <c r="E161" s="17" t="s">
        <v>119</v>
      </c>
      <c r="F161" s="17" t="n">
        <v>4</v>
      </c>
      <c r="G161" s="19" t="n">
        <v>0.0644248778147532</v>
      </c>
      <c r="H161" s="19" t="n">
        <v>0.0138216245336237</v>
      </c>
      <c r="I161" s="19" t="n">
        <v>0.0110769488233352</v>
      </c>
      <c r="J161" s="18" t="n">
        <v>0.995849435118554</v>
      </c>
      <c r="K161" s="29" t="n">
        <v>6.08485292605822</v>
      </c>
      <c r="L161" s="19" t="n">
        <v>0.0488198612276108</v>
      </c>
      <c r="M161" s="17" t="n">
        <v>4</v>
      </c>
      <c r="N161" s="17" t="n">
        <v>5</v>
      </c>
      <c r="O161" s="17" t="n">
        <v>4</v>
      </c>
      <c r="P161" s="17" t="n">
        <v>799</v>
      </c>
      <c r="Q161" s="17" t="n">
        <v>299</v>
      </c>
      <c r="R161" s="27" t="str">
        <f aca="false">IF(G161=_xlfn.MINIFS($G$2:$G$361,$A$2:$A$361,$A161),"BEST","")</f>
        <v/>
      </c>
    </row>
    <row r="162" customFormat="false" ht="15" hidden="false" customHeight="false" outlineLevel="0" collapsed="false">
      <c r="A162" s="16" t="s">
        <v>50</v>
      </c>
      <c r="B162" s="17" t="s">
        <v>102</v>
      </c>
      <c r="C162" s="16" t="s">
        <v>68</v>
      </c>
      <c r="D162" s="16" t="s">
        <v>98</v>
      </c>
      <c r="E162" s="17" t="s">
        <v>99</v>
      </c>
      <c r="F162" s="17" t="n">
        <v>0</v>
      </c>
      <c r="G162" s="19" t="n">
        <v>0.0695597777307849</v>
      </c>
      <c r="H162" s="19" t="n">
        <v>0.014923258887688</v>
      </c>
      <c r="I162" s="19" t="n">
        <v>0.011034205540338</v>
      </c>
      <c r="J162" s="18" t="n">
        <v>0.995161437322044</v>
      </c>
      <c r="K162" s="29" t="n">
        <v>4.93251833689566</v>
      </c>
      <c r="L162" s="19" t="n">
        <v>0.0523968215911794</v>
      </c>
      <c r="M162" s="17" t="n">
        <v>4</v>
      </c>
      <c r="N162" s="17"/>
      <c r="O162" s="17" t="n">
        <v>4</v>
      </c>
      <c r="P162" s="17" t="n">
        <v>799</v>
      </c>
      <c r="Q162" s="17" t="n">
        <v>299</v>
      </c>
      <c r="R162" s="27" t="str">
        <f aca="false">IF(G162=_xlfn.MINIFS($G$2:$G$361,$A$2:$A$361,$A162),"BEST","")</f>
        <v/>
      </c>
    </row>
    <row r="163" customFormat="false" ht="15" hidden="false" customHeight="false" outlineLevel="0" collapsed="false">
      <c r="A163" s="16" t="s">
        <v>50</v>
      </c>
      <c r="B163" s="17" t="s">
        <v>102</v>
      </c>
      <c r="C163" s="16" t="s">
        <v>68</v>
      </c>
      <c r="D163" s="16" t="s">
        <v>98</v>
      </c>
      <c r="E163" s="17" t="s">
        <v>99</v>
      </c>
      <c r="F163" s="17" t="n">
        <v>1</v>
      </c>
      <c r="G163" s="19" t="n">
        <v>0.0695597777307849</v>
      </c>
      <c r="H163" s="19" t="n">
        <v>0.014923258887688</v>
      </c>
      <c r="I163" s="19" t="n">
        <v>0.011034205540338</v>
      </c>
      <c r="J163" s="18" t="n">
        <v>0.995161437322044</v>
      </c>
      <c r="K163" s="29" t="n">
        <v>4.93251833689566</v>
      </c>
      <c r="L163" s="19" t="n">
        <v>0.0523968215911794</v>
      </c>
      <c r="M163" s="17" t="n">
        <v>4</v>
      </c>
      <c r="N163" s="17"/>
      <c r="O163" s="17" t="n">
        <v>4</v>
      </c>
      <c r="P163" s="17" t="n">
        <v>799</v>
      </c>
      <c r="Q163" s="17" t="n">
        <v>299</v>
      </c>
      <c r="R163" s="27" t="str">
        <f aca="false">IF(G163=_xlfn.MINIFS($G$2:$G$361,$A$2:$A$361,$A163),"BEST","")</f>
        <v/>
      </c>
    </row>
    <row r="164" customFormat="false" ht="15" hidden="false" customHeight="false" outlineLevel="0" collapsed="false">
      <c r="A164" s="16" t="s">
        <v>50</v>
      </c>
      <c r="B164" s="17" t="s">
        <v>102</v>
      </c>
      <c r="C164" s="16" t="s">
        <v>68</v>
      </c>
      <c r="D164" s="16" t="s">
        <v>98</v>
      </c>
      <c r="E164" s="17" t="s">
        <v>99</v>
      </c>
      <c r="F164" s="17" t="n">
        <v>2</v>
      </c>
      <c r="G164" s="19" t="n">
        <v>0.0695597777307849</v>
      </c>
      <c r="H164" s="19" t="n">
        <v>0.014923258887688</v>
      </c>
      <c r="I164" s="19" t="n">
        <v>0.011034205540338</v>
      </c>
      <c r="J164" s="18" t="n">
        <v>0.995161437322044</v>
      </c>
      <c r="K164" s="29" t="n">
        <v>4.93251833689566</v>
      </c>
      <c r="L164" s="19" t="n">
        <v>0.0523968215911794</v>
      </c>
      <c r="M164" s="17" t="n">
        <v>4</v>
      </c>
      <c r="N164" s="17"/>
      <c r="O164" s="17" t="n">
        <v>4</v>
      </c>
      <c r="P164" s="17" t="n">
        <v>799</v>
      </c>
      <c r="Q164" s="17" t="n">
        <v>299</v>
      </c>
      <c r="R164" s="27" t="str">
        <f aca="false">IF(G164=_xlfn.MINIFS($G$2:$G$361,$A$2:$A$361,$A164),"BEST","")</f>
        <v/>
      </c>
    </row>
    <row r="165" customFormat="false" ht="15" hidden="false" customHeight="false" outlineLevel="0" collapsed="false">
      <c r="A165" s="16" t="s">
        <v>50</v>
      </c>
      <c r="B165" s="17" t="s">
        <v>102</v>
      </c>
      <c r="C165" s="16" t="s">
        <v>68</v>
      </c>
      <c r="D165" s="16" t="s">
        <v>98</v>
      </c>
      <c r="E165" s="17" t="s">
        <v>99</v>
      </c>
      <c r="F165" s="17" t="n">
        <v>3</v>
      </c>
      <c r="G165" s="19" t="n">
        <v>0.0695597777307849</v>
      </c>
      <c r="H165" s="19" t="n">
        <v>0.014923258887688</v>
      </c>
      <c r="I165" s="19" t="n">
        <v>0.011034205540338</v>
      </c>
      <c r="J165" s="18" t="n">
        <v>0.995161437322044</v>
      </c>
      <c r="K165" s="29" t="n">
        <v>4.93251833689566</v>
      </c>
      <c r="L165" s="19" t="n">
        <v>0.0523968215911794</v>
      </c>
      <c r="M165" s="17" t="n">
        <v>4</v>
      </c>
      <c r="N165" s="17"/>
      <c r="O165" s="17" t="n">
        <v>4</v>
      </c>
      <c r="P165" s="17" t="n">
        <v>799</v>
      </c>
      <c r="Q165" s="17" t="n">
        <v>299</v>
      </c>
      <c r="R165" s="27" t="str">
        <f aca="false">IF(G165=_xlfn.MINIFS($G$2:$G$361,$A$2:$A$361,$A165),"BEST","")</f>
        <v/>
      </c>
    </row>
    <row r="166" customFormat="false" ht="15" hidden="false" customHeight="false" outlineLevel="0" collapsed="false">
      <c r="A166" s="16" t="s">
        <v>50</v>
      </c>
      <c r="B166" s="17" t="s">
        <v>102</v>
      </c>
      <c r="C166" s="16" t="s">
        <v>68</v>
      </c>
      <c r="D166" s="16" t="s">
        <v>98</v>
      </c>
      <c r="E166" s="17" t="s">
        <v>99</v>
      </c>
      <c r="F166" s="17" t="n">
        <v>4</v>
      </c>
      <c r="G166" s="19" t="n">
        <v>0.0695597777307849</v>
      </c>
      <c r="H166" s="19" t="n">
        <v>0.014923258887688</v>
      </c>
      <c r="I166" s="19" t="n">
        <v>0.011034205540338</v>
      </c>
      <c r="J166" s="18" t="n">
        <v>0.995161437322044</v>
      </c>
      <c r="K166" s="29" t="n">
        <v>4.93251833689566</v>
      </c>
      <c r="L166" s="19" t="n">
        <v>0.0523968215911794</v>
      </c>
      <c r="M166" s="17" t="n">
        <v>4</v>
      </c>
      <c r="N166" s="17"/>
      <c r="O166" s="17" t="n">
        <v>4</v>
      </c>
      <c r="P166" s="17" t="n">
        <v>799</v>
      </c>
      <c r="Q166" s="17" t="n">
        <v>299</v>
      </c>
      <c r="R166" s="27" t="str">
        <f aca="false">IF(G166=_xlfn.MINIFS($G$2:$G$361,$A$2:$A$361,$A166),"BEST","")</f>
        <v/>
      </c>
    </row>
    <row r="167" customFormat="false" ht="15" hidden="false" customHeight="false" outlineLevel="0" collapsed="false">
      <c r="A167" s="16" t="s">
        <v>50</v>
      </c>
      <c r="B167" s="16" t="s">
        <v>120</v>
      </c>
      <c r="C167" s="16" t="s">
        <v>68</v>
      </c>
      <c r="D167" s="16" t="s">
        <v>121</v>
      </c>
      <c r="E167" s="16" t="s">
        <v>120</v>
      </c>
      <c r="F167" s="17" t="n">
        <v>0</v>
      </c>
      <c r="G167" s="19" t="n">
        <v>0.0798557244871131</v>
      </c>
      <c r="H167" s="19" t="n">
        <v>0.0171321371209279</v>
      </c>
      <c r="I167" s="19" t="n">
        <v>0.0141041014593728</v>
      </c>
      <c r="J167" s="18" t="n">
        <v>0.993623063266638</v>
      </c>
      <c r="K167" s="29" t="n">
        <v>7.30024907862506</v>
      </c>
      <c r="L167" s="19" t="n">
        <v>0.0587962463015146</v>
      </c>
      <c r="M167" s="17" t="n">
        <v>2</v>
      </c>
      <c r="N167" s="17" t="n">
        <v>5</v>
      </c>
      <c r="O167" s="17" t="n">
        <v>1</v>
      </c>
      <c r="P167" s="17" t="n">
        <v>800</v>
      </c>
      <c r="Q167" s="17" t="n">
        <v>299</v>
      </c>
      <c r="R167" s="27" t="str">
        <f aca="false">IF(G167=_xlfn.MINIFS($G$2:$G$361,$A$2:$A$361,$A167),"BEST","")</f>
        <v/>
      </c>
    </row>
    <row r="168" customFormat="false" ht="15" hidden="false" customHeight="false" outlineLevel="0" collapsed="false">
      <c r="A168" s="16" t="s">
        <v>50</v>
      </c>
      <c r="B168" s="16" t="s">
        <v>120</v>
      </c>
      <c r="C168" s="16" t="s">
        <v>68</v>
      </c>
      <c r="D168" s="16" t="s">
        <v>121</v>
      </c>
      <c r="E168" s="16" t="s">
        <v>120</v>
      </c>
      <c r="F168" s="17" t="n">
        <v>1</v>
      </c>
      <c r="G168" s="19" t="n">
        <v>0.0798557244871131</v>
      </c>
      <c r="H168" s="19" t="n">
        <v>0.0171321371209279</v>
      </c>
      <c r="I168" s="19" t="n">
        <v>0.0141041014593728</v>
      </c>
      <c r="J168" s="18" t="n">
        <v>0.993623063266638</v>
      </c>
      <c r="K168" s="29" t="n">
        <v>7.30024907862506</v>
      </c>
      <c r="L168" s="19" t="n">
        <v>0.0587962463015146</v>
      </c>
      <c r="M168" s="17" t="n">
        <v>2</v>
      </c>
      <c r="N168" s="17" t="n">
        <v>5</v>
      </c>
      <c r="O168" s="17" t="n">
        <v>1</v>
      </c>
      <c r="P168" s="17" t="n">
        <v>800</v>
      </c>
      <c r="Q168" s="17" t="n">
        <v>299</v>
      </c>
      <c r="R168" s="27" t="str">
        <f aca="false">IF(G168=_xlfn.MINIFS($G$2:$G$361,$A$2:$A$361,$A168),"BEST","")</f>
        <v/>
      </c>
    </row>
    <row r="169" customFormat="false" ht="15" hidden="false" customHeight="false" outlineLevel="0" collapsed="false">
      <c r="A169" s="16" t="s">
        <v>50</v>
      </c>
      <c r="B169" s="16" t="s">
        <v>120</v>
      </c>
      <c r="C169" s="16" t="s">
        <v>68</v>
      </c>
      <c r="D169" s="16" t="s">
        <v>121</v>
      </c>
      <c r="E169" s="16" t="s">
        <v>120</v>
      </c>
      <c r="F169" s="17" t="n">
        <v>2</v>
      </c>
      <c r="G169" s="19" t="n">
        <v>0.0798557244871131</v>
      </c>
      <c r="H169" s="19" t="n">
        <v>0.0171321371209279</v>
      </c>
      <c r="I169" s="19" t="n">
        <v>0.0141041014593728</v>
      </c>
      <c r="J169" s="18" t="n">
        <v>0.993623063266638</v>
      </c>
      <c r="K169" s="29" t="n">
        <v>7.30024907862506</v>
      </c>
      <c r="L169" s="19" t="n">
        <v>0.0587962463015146</v>
      </c>
      <c r="M169" s="17" t="n">
        <v>2</v>
      </c>
      <c r="N169" s="17" t="n">
        <v>5</v>
      </c>
      <c r="O169" s="17" t="n">
        <v>1</v>
      </c>
      <c r="P169" s="17" t="n">
        <v>800</v>
      </c>
      <c r="Q169" s="17" t="n">
        <v>299</v>
      </c>
      <c r="R169" s="27" t="str">
        <f aca="false">IF(G169=_xlfn.MINIFS($G$2:$G$361,$A$2:$A$361,$A169),"BEST","")</f>
        <v/>
      </c>
    </row>
    <row r="170" customFormat="false" ht="15" hidden="false" customHeight="false" outlineLevel="0" collapsed="false">
      <c r="A170" s="16" t="s">
        <v>50</v>
      </c>
      <c r="B170" s="16" t="s">
        <v>120</v>
      </c>
      <c r="C170" s="16" t="s">
        <v>68</v>
      </c>
      <c r="D170" s="16" t="s">
        <v>121</v>
      </c>
      <c r="E170" s="16" t="s">
        <v>120</v>
      </c>
      <c r="F170" s="17" t="n">
        <v>3</v>
      </c>
      <c r="G170" s="19" t="n">
        <v>0.0798557244871131</v>
      </c>
      <c r="H170" s="19" t="n">
        <v>0.0171321371209279</v>
      </c>
      <c r="I170" s="19" t="n">
        <v>0.0141041014593728</v>
      </c>
      <c r="J170" s="18" t="n">
        <v>0.993623063266638</v>
      </c>
      <c r="K170" s="29" t="n">
        <v>7.30024907862506</v>
      </c>
      <c r="L170" s="19" t="n">
        <v>0.0587962463015146</v>
      </c>
      <c r="M170" s="17" t="n">
        <v>2</v>
      </c>
      <c r="N170" s="17" t="n">
        <v>5</v>
      </c>
      <c r="O170" s="17" t="n">
        <v>1</v>
      </c>
      <c r="P170" s="17" t="n">
        <v>800</v>
      </c>
      <c r="Q170" s="17" t="n">
        <v>299</v>
      </c>
      <c r="R170" s="27" t="str">
        <f aca="false">IF(G170=_xlfn.MINIFS($G$2:$G$361,$A$2:$A$361,$A170),"BEST","")</f>
        <v/>
      </c>
    </row>
    <row r="171" customFormat="false" ht="15" hidden="false" customHeight="false" outlineLevel="0" collapsed="false">
      <c r="A171" s="16" t="s">
        <v>50</v>
      </c>
      <c r="B171" s="16" t="s">
        <v>120</v>
      </c>
      <c r="C171" s="16" t="s">
        <v>68</v>
      </c>
      <c r="D171" s="16" t="s">
        <v>121</v>
      </c>
      <c r="E171" s="16" t="s">
        <v>120</v>
      </c>
      <c r="F171" s="17" t="n">
        <v>4</v>
      </c>
      <c r="G171" s="19" t="n">
        <v>0.0798557244871131</v>
      </c>
      <c r="H171" s="19" t="n">
        <v>0.0171321371209279</v>
      </c>
      <c r="I171" s="19" t="n">
        <v>0.0141041014593728</v>
      </c>
      <c r="J171" s="18" t="n">
        <v>0.993623063266638</v>
      </c>
      <c r="K171" s="29" t="n">
        <v>7.30024907862506</v>
      </c>
      <c r="L171" s="19" t="n">
        <v>0.0587962463015146</v>
      </c>
      <c r="M171" s="17" t="n">
        <v>2</v>
      </c>
      <c r="N171" s="17" t="n">
        <v>5</v>
      </c>
      <c r="O171" s="17" t="n">
        <v>1</v>
      </c>
      <c r="P171" s="17" t="n">
        <v>800</v>
      </c>
      <c r="Q171" s="17" t="n">
        <v>299</v>
      </c>
      <c r="R171" s="27" t="str">
        <f aca="false">IF(G171=_xlfn.MINIFS($G$2:$G$361,$A$2:$A$361,$A171),"BEST","")</f>
        <v/>
      </c>
    </row>
    <row r="172" customFormat="false" ht="15" hidden="false" customHeight="false" outlineLevel="0" collapsed="false">
      <c r="A172" s="16" t="s">
        <v>50</v>
      </c>
      <c r="B172" s="16" t="s">
        <v>103</v>
      </c>
      <c r="C172" s="16" t="s">
        <v>68</v>
      </c>
      <c r="D172" s="16" t="s">
        <v>98</v>
      </c>
      <c r="E172" s="17" t="s">
        <v>99</v>
      </c>
      <c r="F172" s="17" t="n">
        <v>0</v>
      </c>
      <c r="G172" s="19" t="n">
        <v>0.085286296356348</v>
      </c>
      <c r="H172" s="19" t="n">
        <v>0.01829720452851</v>
      </c>
      <c r="I172" s="19" t="n">
        <v>0.0140373344826337</v>
      </c>
      <c r="J172" s="18" t="n">
        <v>0.992726247653817</v>
      </c>
      <c r="K172" s="29" t="n">
        <v>5.76086569655548</v>
      </c>
      <c r="L172" s="19" t="n">
        <v>0.0506799639647904</v>
      </c>
      <c r="M172" s="17" t="n">
        <v>4</v>
      </c>
      <c r="N172" s="17"/>
      <c r="O172" s="17" t="n">
        <v>4</v>
      </c>
      <c r="P172" s="17" t="n">
        <v>799</v>
      </c>
      <c r="Q172" s="17" t="n">
        <v>299</v>
      </c>
      <c r="R172" s="27" t="str">
        <f aca="false">IF(G172=_xlfn.MINIFS($G$2:$G$361,$A$2:$A$361,$A172),"BEST","")</f>
        <v/>
      </c>
    </row>
    <row r="173" customFormat="false" ht="15" hidden="false" customHeight="false" outlineLevel="0" collapsed="false">
      <c r="A173" s="16" t="s">
        <v>50</v>
      </c>
      <c r="B173" s="16" t="s">
        <v>103</v>
      </c>
      <c r="C173" s="16" t="s">
        <v>68</v>
      </c>
      <c r="D173" s="16" t="s">
        <v>98</v>
      </c>
      <c r="E173" s="17" t="s">
        <v>99</v>
      </c>
      <c r="F173" s="17" t="n">
        <v>1</v>
      </c>
      <c r="G173" s="19" t="n">
        <v>0.085286296356348</v>
      </c>
      <c r="H173" s="19" t="n">
        <v>0.01829720452851</v>
      </c>
      <c r="I173" s="19" t="n">
        <v>0.0140373344826337</v>
      </c>
      <c r="J173" s="18" t="n">
        <v>0.992726247653817</v>
      </c>
      <c r="K173" s="29" t="n">
        <v>5.76086569655548</v>
      </c>
      <c r="L173" s="19" t="n">
        <v>0.0506799639647904</v>
      </c>
      <c r="M173" s="17" t="n">
        <v>4</v>
      </c>
      <c r="N173" s="17"/>
      <c r="O173" s="17" t="n">
        <v>4</v>
      </c>
      <c r="P173" s="17" t="n">
        <v>799</v>
      </c>
      <c r="Q173" s="17" t="n">
        <v>299</v>
      </c>
      <c r="R173" s="27" t="str">
        <f aca="false">IF(G173=_xlfn.MINIFS($G$2:$G$361,$A$2:$A$361,$A173),"BEST","")</f>
        <v/>
      </c>
    </row>
    <row r="174" customFormat="false" ht="15" hidden="false" customHeight="false" outlineLevel="0" collapsed="false">
      <c r="A174" s="16" t="s">
        <v>50</v>
      </c>
      <c r="B174" s="16" t="s">
        <v>103</v>
      </c>
      <c r="C174" s="16" t="s">
        <v>68</v>
      </c>
      <c r="D174" s="16" t="s">
        <v>98</v>
      </c>
      <c r="E174" s="17" t="s">
        <v>99</v>
      </c>
      <c r="F174" s="17" t="n">
        <v>2</v>
      </c>
      <c r="G174" s="19" t="n">
        <v>0.085286296356348</v>
      </c>
      <c r="H174" s="19" t="n">
        <v>0.01829720452851</v>
      </c>
      <c r="I174" s="19" t="n">
        <v>0.0140373344826337</v>
      </c>
      <c r="J174" s="18" t="n">
        <v>0.992726247653817</v>
      </c>
      <c r="K174" s="29" t="n">
        <v>5.76086569655548</v>
      </c>
      <c r="L174" s="19" t="n">
        <v>0.0506799639647904</v>
      </c>
      <c r="M174" s="17" t="n">
        <v>4</v>
      </c>
      <c r="N174" s="17"/>
      <c r="O174" s="17" t="n">
        <v>4</v>
      </c>
      <c r="P174" s="17" t="n">
        <v>799</v>
      </c>
      <c r="Q174" s="17" t="n">
        <v>299</v>
      </c>
      <c r="R174" s="27" t="str">
        <f aca="false">IF(G174=_xlfn.MINIFS($G$2:$G$361,$A$2:$A$361,$A174),"BEST","")</f>
        <v/>
      </c>
    </row>
    <row r="175" customFormat="false" ht="15" hidden="false" customHeight="false" outlineLevel="0" collapsed="false">
      <c r="A175" s="16" t="s">
        <v>50</v>
      </c>
      <c r="B175" s="16" t="s">
        <v>103</v>
      </c>
      <c r="C175" s="16" t="s">
        <v>68</v>
      </c>
      <c r="D175" s="16" t="s">
        <v>98</v>
      </c>
      <c r="E175" s="17" t="s">
        <v>99</v>
      </c>
      <c r="F175" s="17" t="n">
        <v>3</v>
      </c>
      <c r="G175" s="19" t="n">
        <v>0.085286296356348</v>
      </c>
      <c r="H175" s="19" t="n">
        <v>0.01829720452851</v>
      </c>
      <c r="I175" s="19" t="n">
        <v>0.0140373344826337</v>
      </c>
      <c r="J175" s="18" t="n">
        <v>0.992726247653817</v>
      </c>
      <c r="K175" s="29" t="n">
        <v>5.76086569655548</v>
      </c>
      <c r="L175" s="19" t="n">
        <v>0.0506799639647904</v>
      </c>
      <c r="M175" s="17" t="n">
        <v>4</v>
      </c>
      <c r="N175" s="17"/>
      <c r="O175" s="17" t="n">
        <v>4</v>
      </c>
      <c r="P175" s="17" t="n">
        <v>799</v>
      </c>
      <c r="Q175" s="17" t="n">
        <v>299</v>
      </c>
      <c r="R175" s="27" t="str">
        <f aca="false">IF(G175=_xlfn.MINIFS($G$2:$G$361,$A$2:$A$361,$A175),"BEST","")</f>
        <v/>
      </c>
    </row>
    <row r="176" customFormat="false" ht="15" hidden="false" customHeight="false" outlineLevel="0" collapsed="false">
      <c r="A176" s="16" t="s">
        <v>50</v>
      </c>
      <c r="B176" s="16" t="s">
        <v>103</v>
      </c>
      <c r="C176" s="16" t="s">
        <v>68</v>
      </c>
      <c r="D176" s="16" t="s">
        <v>98</v>
      </c>
      <c r="E176" s="17" t="s">
        <v>99</v>
      </c>
      <c r="F176" s="17" t="n">
        <v>4</v>
      </c>
      <c r="G176" s="19" t="n">
        <v>0.085286296356348</v>
      </c>
      <c r="H176" s="19" t="n">
        <v>0.01829720452851</v>
      </c>
      <c r="I176" s="19" t="n">
        <v>0.0140373344826337</v>
      </c>
      <c r="J176" s="18" t="n">
        <v>0.992726247653817</v>
      </c>
      <c r="K176" s="29" t="n">
        <v>5.76086569655548</v>
      </c>
      <c r="L176" s="19" t="n">
        <v>0.0506799639647904</v>
      </c>
      <c r="M176" s="17" t="n">
        <v>4</v>
      </c>
      <c r="N176" s="17"/>
      <c r="O176" s="17" t="n">
        <v>4</v>
      </c>
      <c r="P176" s="17" t="n">
        <v>799</v>
      </c>
      <c r="Q176" s="17" t="n">
        <v>299</v>
      </c>
      <c r="R176" s="27" t="str">
        <f aca="false">IF(G176=_xlfn.MINIFS($G$2:$G$361,$A$2:$A$361,$A176),"BEST","")</f>
        <v/>
      </c>
    </row>
    <row r="177" customFormat="false" ht="15" hidden="false" customHeight="false" outlineLevel="0" collapsed="false">
      <c r="A177" s="16" t="s">
        <v>50</v>
      </c>
      <c r="B177" s="16" t="s">
        <v>88</v>
      </c>
      <c r="C177" s="16" t="s">
        <v>68</v>
      </c>
      <c r="D177" s="16" t="s">
        <v>89</v>
      </c>
      <c r="E177" s="17" t="s">
        <v>90</v>
      </c>
      <c r="F177" s="17" t="n">
        <v>0</v>
      </c>
      <c r="G177" s="19" t="n">
        <v>0.0859919479807734</v>
      </c>
      <c r="H177" s="19" t="n">
        <v>0.0184485940558971</v>
      </c>
      <c r="I177" s="19" t="n">
        <v>0.0144509130525855</v>
      </c>
      <c r="J177" s="18" t="n">
        <v>0.992605384882472</v>
      </c>
      <c r="K177" s="29" t="n">
        <v>7.91730709784775</v>
      </c>
      <c r="L177" s="19" t="n">
        <v>0.0696684205049977</v>
      </c>
      <c r="M177" s="17" t="n">
        <v>10</v>
      </c>
      <c r="N177" s="17" t="n">
        <v>11</v>
      </c>
      <c r="O177" s="17" t="n">
        <v>3</v>
      </c>
      <c r="P177" s="17" t="n">
        <v>799</v>
      </c>
      <c r="Q177" s="17" t="n">
        <v>299</v>
      </c>
      <c r="R177" s="27" t="str">
        <f aca="false">IF(G177=_xlfn.MINIFS($G$2:$G$361,$A$2:$A$361,$A177),"BEST","")</f>
        <v/>
      </c>
    </row>
    <row r="178" customFormat="false" ht="15" hidden="false" customHeight="false" outlineLevel="0" collapsed="false">
      <c r="A178" s="16" t="s">
        <v>50</v>
      </c>
      <c r="B178" s="16" t="s">
        <v>88</v>
      </c>
      <c r="C178" s="16" t="s">
        <v>68</v>
      </c>
      <c r="D178" s="16" t="s">
        <v>89</v>
      </c>
      <c r="E178" s="17" t="s">
        <v>90</v>
      </c>
      <c r="F178" s="17" t="n">
        <v>1</v>
      </c>
      <c r="G178" s="19" t="n">
        <v>0.0859919479807734</v>
      </c>
      <c r="H178" s="19" t="n">
        <v>0.0184485940558971</v>
      </c>
      <c r="I178" s="19" t="n">
        <v>0.0144509130525855</v>
      </c>
      <c r="J178" s="18" t="n">
        <v>0.992605384882472</v>
      </c>
      <c r="K178" s="29" t="n">
        <v>7.91730709784775</v>
      </c>
      <c r="L178" s="19" t="n">
        <v>0.0696684205049977</v>
      </c>
      <c r="M178" s="17" t="n">
        <v>10</v>
      </c>
      <c r="N178" s="17" t="n">
        <v>11</v>
      </c>
      <c r="O178" s="17" t="n">
        <v>3</v>
      </c>
      <c r="P178" s="17" t="n">
        <v>799</v>
      </c>
      <c r="Q178" s="17" t="n">
        <v>299</v>
      </c>
      <c r="R178" s="27" t="str">
        <f aca="false">IF(G178=_xlfn.MINIFS($G$2:$G$361,$A$2:$A$361,$A178),"BEST","")</f>
        <v/>
      </c>
    </row>
    <row r="179" customFormat="false" ht="15" hidden="false" customHeight="false" outlineLevel="0" collapsed="false">
      <c r="A179" s="16" t="s">
        <v>50</v>
      </c>
      <c r="B179" s="16" t="s">
        <v>88</v>
      </c>
      <c r="C179" s="16" t="s">
        <v>68</v>
      </c>
      <c r="D179" s="16" t="s">
        <v>89</v>
      </c>
      <c r="E179" s="17" t="s">
        <v>90</v>
      </c>
      <c r="F179" s="17" t="n">
        <v>2</v>
      </c>
      <c r="G179" s="19" t="n">
        <v>0.0859919479807734</v>
      </c>
      <c r="H179" s="19" t="n">
        <v>0.0184485940558971</v>
      </c>
      <c r="I179" s="19" t="n">
        <v>0.0144509130525855</v>
      </c>
      <c r="J179" s="18" t="n">
        <v>0.992605384882472</v>
      </c>
      <c r="K179" s="29" t="n">
        <v>7.91730709784775</v>
      </c>
      <c r="L179" s="19" t="n">
        <v>0.0696684205049977</v>
      </c>
      <c r="M179" s="17" t="n">
        <v>10</v>
      </c>
      <c r="N179" s="17" t="n">
        <v>11</v>
      </c>
      <c r="O179" s="17" t="n">
        <v>3</v>
      </c>
      <c r="P179" s="17" t="n">
        <v>799</v>
      </c>
      <c r="Q179" s="17" t="n">
        <v>299</v>
      </c>
      <c r="R179" s="27" t="str">
        <f aca="false">IF(G179=_xlfn.MINIFS($G$2:$G$361,$A$2:$A$361,$A179),"BEST","")</f>
        <v/>
      </c>
    </row>
    <row r="180" customFormat="false" ht="15" hidden="false" customHeight="false" outlineLevel="0" collapsed="false">
      <c r="A180" s="16" t="s">
        <v>50</v>
      </c>
      <c r="B180" s="16" t="s">
        <v>88</v>
      </c>
      <c r="C180" s="16" t="s">
        <v>68</v>
      </c>
      <c r="D180" s="16" t="s">
        <v>89</v>
      </c>
      <c r="E180" s="17" t="s">
        <v>90</v>
      </c>
      <c r="F180" s="17" t="n">
        <v>3</v>
      </c>
      <c r="G180" s="19" t="n">
        <v>0.0859919479807734</v>
      </c>
      <c r="H180" s="19" t="n">
        <v>0.0184485940558971</v>
      </c>
      <c r="I180" s="19" t="n">
        <v>0.0144509130525855</v>
      </c>
      <c r="J180" s="18" t="n">
        <v>0.992605384882472</v>
      </c>
      <c r="K180" s="29" t="n">
        <v>7.91730709784775</v>
      </c>
      <c r="L180" s="19" t="n">
        <v>0.0696684205049977</v>
      </c>
      <c r="M180" s="17" t="n">
        <v>10</v>
      </c>
      <c r="N180" s="17" t="n">
        <v>11</v>
      </c>
      <c r="O180" s="17" t="n">
        <v>3</v>
      </c>
      <c r="P180" s="17" t="n">
        <v>799</v>
      </c>
      <c r="Q180" s="17" t="n">
        <v>299</v>
      </c>
      <c r="R180" s="27" t="str">
        <f aca="false">IF(G180=_xlfn.MINIFS($G$2:$G$361,$A$2:$A$361,$A180),"BEST","")</f>
        <v/>
      </c>
    </row>
    <row r="181" customFormat="false" ht="15" hidden="false" customHeight="false" outlineLevel="0" collapsed="false">
      <c r="A181" s="16" t="s">
        <v>50</v>
      </c>
      <c r="B181" s="16" t="s">
        <v>88</v>
      </c>
      <c r="C181" s="16" t="s">
        <v>68</v>
      </c>
      <c r="D181" s="16" t="s">
        <v>89</v>
      </c>
      <c r="E181" s="17" t="s">
        <v>90</v>
      </c>
      <c r="F181" s="17" t="n">
        <v>4</v>
      </c>
      <c r="G181" s="19" t="n">
        <v>0.0859919479807734</v>
      </c>
      <c r="H181" s="19" t="n">
        <v>0.0184485940558971</v>
      </c>
      <c r="I181" s="19" t="n">
        <v>0.0144509130525855</v>
      </c>
      <c r="J181" s="18" t="n">
        <v>0.992605384882472</v>
      </c>
      <c r="K181" s="29" t="n">
        <v>7.91730709784775</v>
      </c>
      <c r="L181" s="19" t="n">
        <v>0.0696684205049977</v>
      </c>
      <c r="M181" s="17" t="n">
        <v>10</v>
      </c>
      <c r="N181" s="17" t="n">
        <v>11</v>
      </c>
      <c r="O181" s="17" t="n">
        <v>3</v>
      </c>
      <c r="P181" s="17" t="n">
        <v>799</v>
      </c>
      <c r="Q181" s="17" t="n">
        <v>299</v>
      </c>
      <c r="R181" s="27" t="str">
        <f aca="false">IF(G181=_xlfn.MINIFS($G$2:$G$361,$A$2:$A$361,$A181),"BEST","")</f>
        <v/>
      </c>
    </row>
    <row r="182" customFormat="false" ht="15" hidden="false" customHeight="false" outlineLevel="0" collapsed="false">
      <c r="A182" s="16" t="s">
        <v>50</v>
      </c>
      <c r="B182" s="16" t="s">
        <v>106</v>
      </c>
      <c r="C182" s="16" t="s">
        <v>68</v>
      </c>
      <c r="D182" s="16" t="s">
        <v>107</v>
      </c>
      <c r="E182" s="17" t="s">
        <v>108</v>
      </c>
      <c r="F182" s="17" t="n">
        <v>3</v>
      </c>
      <c r="G182" s="19" t="n">
        <v>0.0865422444485876</v>
      </c>
      <c r="H182" s="19" t="n">
        <v>0.0185666539020047</v>
      </c>
      <c r="I182" s="19" t="n">
        <v>0.0144836419325752</v>
      </c>
      <c r="J182" s="18" t="n">
        <v>0.992510439925801</v>
      </c>
      <c r="K182" s="29" t="n">
        <v>7.06608625219663</v>
      </c>
      <c r="L182" s="19" t="n">
        <v>0.0609029328407728</v>
      </c>
      <c r="M182" s="17" t="n">
        <v>8</v>
      </c>
      <c r="N182" s="17" t="n">
        <v>8897</v>
      </c>
      <c r="O182" s="17" t="n">
        <v>8</v>
      </c>
      <c r="P182" s="17" t="n">
        <v>640</v>
      </c>
      <c r="Q182" s="17" t="n">
        <v>299</v>
      </c>
      <c r="R182" s="27" t="str">
        <f aca="false">IF(G182=_xlfn.MINIFS($G$2:$G$361,$A$2:$A$361,$A182),"BEST","")</f>
        <v/>
      </c>
    </row>
    <row r="183" customFormat="false" ht="15" hidden="false" customHeight="false" outlineLevel="0" collapsed="false">
      <c r="A183" s="16" t="s">
        <v>50</v>
      </c>
      <c r="B183" s="16" t="s">
        <v>110</v>
      </c>
      <c r="C183" s="16" t="s">
        <v>68</v>
      </c>
      <c r="D183" s="16" t="s">
        <v>107</v>
      </c>
      <c r="E183" s="17" t="s">
        <v>108</v>
      </c>
      <c r="F183" s="17" t="n">
        <v>2</v>
      </c>
      <c r="G183" s="19" t="n">
        <v>0.0865592502523491</v>
      </c>
      <c r="H183" s="19" t="n">
        <v>0.0185703023037162</v>
      </c>
      <c r="I183" s="19" t="n">
        <v>0.0136503416837533</v>
      </c>
      <c r="J183" s="18" t="n">
        <v>0.992507496195751</v>
      </c>
      <c r="K183" s="29" t="n">
        <v>6.58714540438248</v>
      </c>
      <c r="L183" s="19" t="n">
        <v>0.0689629542931581</v>
      </c>
      <c r="M183" s="17" t="n">
        <v>8</v>
      </c>
      <c r="N183" s="17" t="n">
        <v>12673</v>
      </c>
      <c r="O183" s="17" t="n">
        <v>8</v>
      </c>
      <c r="P183" s="17" t="n">
        <v>640</v>
      </c>
      <c r="Q183" s="17" t="n">
        <v>299</v>
      </c>
      <c r="R183" s="27" t="str">
        <f aca="false">IF(G183=_xlfn.MINIFS($G$2:$G$361,$A$2:$A$361,$A183),"BEST","")</f>
        <v/>
      </c>
    </row>
    <row r="184" customFormat="false" ht="15" hidden="false" customHeight="false" outlineLevel="0" collapsed="false">
      <c r="A184" s="22" t="s">
        <v>50</v>
      </c>
      <c r="B184" s="22" t="s">
        <v>111</v>
      </c>
      <c r="C184" s="22" t="s">
        <v>72</v>
      </c>
      <c r="D184" s="22" t="s">
        <v>93</v>
      </c>
      <c r="E184" s="23" t="s">
        <v>94</v>
      </c>
      <c r="F184" s="23" t="n">
        <v>4</v>
      </c>
      <c r="G184" s="25" t="n">
        <v>0.0880492117556196</v>
      </c>
      <c r="H184" s="25" t="n">
        <v>0.0188899565920328</v>
      </c>
      <c r="I184" s="25" t="n">
        <v>0.0105064008427282</v>
      </c>
      <c r="J184" s="24" t="n">
        <v>0.992247336309214</v>
      </c>
      <c r="K184" s="30" t="n">
        <v>5.53501809864667</v>
      </c>
      <c r="L184" s="25" t="n">
        <v>0.116454925500288</v>
      </c>
      <c r="M184" s="23" t="n">
        <v>24</v>
      </c>
      <c r="N184" s="23" t="n">
        <v>25</v>
      </c>
      <c r="O184" s="23" t="n">
        <v>5</v>
      </c>
      <c r="P184" s="23" t="n">
        <v>799</v>
      </c>
      <c r="Q184" s="23" t="n">
        <v>299</v>
      </c>
      <c r="R184" s="27" t="str">
        <f aca="false">IF(G184=_xlfn.MINIFS($G$2:$G$361,$A$2:$A$361,$A184),"BEST","")</f>
        <v/>
      </c>
    </row>
    <row r="185" customFormat="false" ht="15" hidden="false" customHeight="false" outlineLevel="0" collapsed="false">
      <c r="A185" s="16" t="s">
        <v>50</v>
      </c>
      <c r="B185" s="16" t="s">
        <v>106</v>
      </c>
      <c r="C185" s="16" t="s">
        <v>68</v>
      </c>
      <c r="D185" s="16" t="s">
        <v>107</v>
      </c>
      <c r="E185" s="17" t="s">
        <v>108</v>
      </c>
      <c r="F185" s="17" t="n">
        <v>2</v>
      </c>
      <c r="G185" s="19" t="n">
        <v>0.0885425454092943</v>
      </c>
      <c r="H185" s="19" t="n">
        <v>0.0189957957144677</v>
      </c>
      <c r="I185" s="19" t="n">
        <v>0.0152127438515177</v>
      </c>
      <c r="J185" s="18" t="n">
        <v>0.992160217652443</v>
      </c>
      <c r="K185" s="29" t="n">
        <v>6.21900951019008</v>
      </c>
      <c r="L185" s="19" t="n">
        <v>0.0634791142706623</v>
      </c>
      <c r="M185" s="17" t="n">
        <v>8</v>
      </c>
      <c r="N185" s="17" t="n">
        <v>8897</v>
      </c>
      <c r="O185" s="17" t="n">
        <v>8</v>
      </c>
      <c r="P185" s="17" t="n">
        <v>640</v>
      </c>
      <c r="Q185" s="17" t="n">
        <v>299</v>
      </c>
      <c r="R185" s="27" t="str">
        <f aca="false">IF(G185=_xlfn.MINIFS($G$2:$G$361,$A$2:$A$361,$A185),"BEST","")</f>
        <v/>
      </c>
    </row>
    <row r="186" customFormat="false" ht="15" hidden="false" customHeight="false" outlineLevel="0" collapsed="false">
      <c r="A186" s="16" t="s">
        <v>50</v>
      </c>
      <c r="B186" s="16" t="s">
        <v>104</v>
      </c>
      <c r="C186" s="16" t="s">
        <v>68</v>
      </c>
      <c r="D186" s="16" t="s">
        <v>89</v>
      </c>
      <c r="E186" s="17" t="s">
        <v>105</v>
      </c>
      <c r="F186" s="17" t="n">
        <v>0</v>
      </c>
      <c r="G186" s="19" t="n">
        <v>0.0974148803483219</v>
      </c>
      <c r="H186" s="19" t="n">
        <v>0.0208992542296146</v>
      </c>
      <c r="I186" s="19" t="n">
        <v>0.0167424930412612</v>
      </c>
      <c r="J186" s="18" t="n">
        <v>0.990510341086722</v>
      </c>
      <c r="K186" s="29" t="n">
        <v>6.79010585480095</v>
      </c>
      <c r="L186" s="19" t="n">
        <v>0.0595461422051085</v>
      </c>
      <c r="M186" s="17" t="n">
        <v>300</v>
      </c>
      <c r="N186" s="17" t="n">
        <v>301</v>
      </c>
      <c r="O186" s="17" t="n">
        <v>3</v>
      </c>
      <c r="P186" s="17" t="n">
        <v>799</v>
      </c>
      <c r="Q186" s="17" t="n">
        <v>299</v>
      </c>
      <c r="R186" s="27" t="str">
        <f aca="false">IF(G186=_xlfn.MINIFS($G$2:$G$361,$A$2:$A$361,$A186),"BEST","")</f>
        <v/>
      </c>
    </row>
    <row r="187" customFormat="false" ht="15" hidden="false" customHeight="false" outlineLevel="0" collapsed="false">
      <c r="A187" s="16" t="s">
        <v>50</v>
      </c>
      <c r="B187" s="16" t="s">
        <v>109</v>
      </c>
      <c r="C187" s="16" t="s">
        <v>68</v>
      </c>
      <c r="D187" s="16" t="s">
        <v>107</v>
      </c>
      <c r="E187" s="17" t="s">
        <v>108</v>
      </c>
      <c r="F187" s="17" t="n">
        <v>3</v>
      </c>
      <c r="G187" s="19" t="n">
        <v>0.0975146845658244</v>
      </c>
      <c r="H187" s="19" t="n">
        <v>0.0209206660889457</v>
      </c>
      <c r="I187" s="19" t="n">
        <v>0.0167679849874189</v>
      </c>
      <c r="J187" s="18" t="n">
        <v>0.990490886294028</v>
      </c>
      <c r="K187" s="29" t="n">
        <v>7.11737125034109</v>
      </c>
      <c r="L187" s="19" t="n">
        <v>0.0622875032792718</v>
      </c>
      <c r="M187" s="17" t="n">
        <v>8</v>
      </c>
      <c r="N187" s="17" t="n">
        <v>4801</v>
      </c>
      <c r="O187" s="17" t="n">
        <v>8</v>
      </c>
      <c r="P187" s="17" t="n">
        <v>640</v>
      </c>
      <c r="Q187" s="17" t="n">
        <v>299</v>
      </c>
      <c r="R187" s="27" t="str">
        <f aca="false">IF(G187=_xlfn.MINIFS($G$2:$G$361,$A$2:$A$361,$A187),"BEST","")</f>
        <v/>
      </c>
    </row>
    <row r="188" customFormat="false" ht="15" hidden="false" customHeight="false" outlineLevel="0" collapsed="false">
      <c r="A188" s="16" t="s">
        <v>50</v>
      </c>
      <c r="B188" s="16" t="s">
        <v>110</v>
      </c>
      <c r="C188" s="16" t="s">
        <v>68</v>
      </c>
      <c r="D188" s="16" t="s">
        <v>107</v>
      </c>
      <c r="E188" s="17" t="s">
        <v>108</v>
      </c>
      <c r="F188" s="17" t="n">
        <v>0</v>
      </c>
      <c r="G188" s="19" t="n">
        <v>0.100358874647333</v>
      </c>
      <c r="H188" s="19" t="n">
        <v>0.0215308547108302</v>
      </c>
      <c r="I188" s="19" t="n">
        <v>0.0157854812933047</v>
      </c>
      <c r="J188" s="18" t="n">
        <v>0.989928096279521</v>
      </c>
      <c r="K188" s="29" t="n">
        <v>7.15176992143165</v>
      </c>
      <c r="L188" s="19" t="n">
        <v>0.0797734283037777</v>
      </c>
      <c r="M188" s="17" t="n">
        <v>8</v>
      </c>
      <c r="N188" s="17" t="n">
        <v>12673</v>
      </c>
      <c r="O188" s="17" t="n">
        <v>8</v>
      </c>
      <c r="P188" s="17" t="n">
        <v>640</v>
      </c>
      <c r="Q188" s="17" t="n">
        <v>299</v>
      </c>
      <c r="R188" s="27" t="str">
        <f aca="false">IF(G188=_xlfn.MINIFS($G$2:$G$361,$A$2:$A$361,$A188),"BEST","")</f>
        <v/>
      </c>
    </row>
    <row r="189" customFormat="false" ht="15" hidden="false" customHeight="false" outlineLevel="0" collapsed="false">
      <c r="A189" s="16" t="s">
        <v>50</v>
      </c>
      <c r="B189" s="16" t="s">
        <v>106</v>
      </c>
      <c r="C189" s="16" t="s">
        <v>68</v>
      </c>
      <c r="D189" s="16" t="s">
        <v>107</v>
      </c>
      <c r="E189" s="17" t="s">
        <v>108</v>
      </c>
      <c r="F189" s="17" t="n">
        <v>4</v>
      </c>
      <c r="G189" s="19" t="n">
        <v>0.101588357174113</v>
      </c>
      <c r="H189" s="19" t="n">
        <v>0.0217946261983707</v>
      </c>
      <c r="I189" s="19" t="n">
        <v>0.0165708932996427</v>
      </c>
      <c r="J189" s="18" t="n">
        <v>0.989679805686665</v>
      </c>
      <c r="K189" s="29" t="n">
        <v>7.45976989151639</v>
      </c>
      <c r="L189" s="19" t="n">
        <v>0.0622345466289654</v>
      </c>
      <c r="M189" s="17" t="n">
        <v>8</v>
      </c>
      <c r="N189" s="17" t="n">
        <v>8897</v>
      </c>
      <c r="O189" s="17" t="n">
        <v>8</v>
      </c>
      <c r="P189" s="17" t="n">
        <v>640</v>
      </c>
      <c r="Q189" s="17" t="n">
        <v>299</v>
      </c>
      <c r="R189" s="27" t="str">
        <f aca="false">IF(G189=_xlfn.MINIFS($G$2:$G$361,$A$2:$A$361,$A189),"BEST","")</f>
        <v/>
      </c>
    </row>
    <row r="190" customFormat="false" ht="15" hidden="false" customHeight="false" outlineLevel="0" collapsed="false">
      <c r="A190" s="22" t="s">
        <v>50</v>
      </c>
      <c r="B190" s="22" t="s">
        <v>116</v>
      </c>
      <c r="C190" s="22" t="s">
        <v>72</v>
      </c>
      <c r="D190" s="22" t="s">
        <v>93</v>
      </c>
      <c r="E190" s="23" t="s">
        <v>94</v>
      </c>
      <c r="F190" s="23" t="n">
        <v>2</v>
      </c>
      <c r="G190" s="25" t="n">
        <v>0.108392126027783</v>
      </c>
      <c r="H190" s="25" t="n">
        <v>0.023254297395255</v>
      </c>
      <c r="I190" s="25" t="n">
        <v>0.0154608488552965</v>
      </c>
      <c r="J190" s="24" t="n">
        <v>0.988251147015177</v>
      </c>
      <c r="K190" s="30" t="n">
        <v>7.52674765092843</v>
      </c>
      <c r="L190" s="25" t="n">
        <v>0.0844021860328434</v>
      </c>
      <c r="M190" s="23" t="n">
        <v>16</v>
      </c>
      <c r="N190" s="23" t="n">
        <v>17</v>
      </c>
      <c r="O190" s="23" t="n">
        <v>5</v>
      </c>
      <c r="P190" s="23" t="n">
        <v>799</v>
      </c>
      <c r="Q190" s="23" t="n">
        <v>299</v>
      </c>
      <c r="R190" s="27" t="str">
        <f aca="false">IF(G190=_xlfn.MINIFS($G$2:$G$361,$A$2:$A$361,$A190),"BEST","")</f>
        <v/>
      </c>
    </row>
    <row r="191" customFormat="false" ht="15" hidden="false" customHeight="false" outlineLevel="0" collapsed="false">
      <c r="A191" s="22" t="s">
        <v>50</v>
      </c>
      <c r="B191" s="22" t="s">
        <v>116</v>
      </c>
      <c r="C191" s="22" t="s">
        <v>72</v>
      </c>
      <c r="D191" s="22" t="s">
        <v>93</v>
      </c>
      <c r="E191" s="23" t="s">
        <v>94</v>
      </c>
      <c r="F191" s="23" t="n">
        <v>3</v>
      </c>
      <c r="G191" s="25" t="n">
        <v>0.109912975910852</v>
      </c>
      <c r="H191" s="25" t="n">
        <v>0.0235805784340213</v>
      </c>
      <c r="I191" s="25" t="n">
        <v>0.0173585179765226</v>
      </c>
      <c r="J191" s="24" t="n">
        <v>0.987919137726421</v>
      </c>
      <c r="K191" s="30" t="n">
        <v>7.91184686870407</v>
      </c>
      <c r="L191" s="25" t="n">
        <v>0.0778622524627283</v>
      </c>
      <c r="M191" s="23" t="n">
        <v>16</v>
      </c>
      <c r="N191" s="23" t="n">
        <v>17</v>
      </c>
      <c r="O191" s="23" t="n">
        <v>5</v>
      </c>
      <c r="P191" s="23" t="n">
        <v>799</v>
      </c>
      <c r="Q191" s="23" t="n">
        <v>299</v>
      </c>
      <c r="R191" s="27" t="str">
        <f aca="false">IF(G191=_xlfn.MINIFS($G$2:$G$361,$A$2:$A$361,$A191),"BEST","")</f>
        <v/>
      </c>
    </row>
    <row r="192" customFormat="false" ht="15" hidden="false" customHeight="false" outlineLevel="0" collapsed="false">
      <c r="A192" s="22" t="s">
        <v>50</v>
      </c>
      <c r="B192" s="22" t="s">
        <v>116</v>
      </c>
      <c r="C192" s="22" t="s">
        <v>72</v>
      </c>
      <c r="D192" s="22" t="s">
        <v>93</v>
      </c>
      <c r="E192" s="23" t="s">
        <v>94</v>
      </c>
      <c r="F192" s="23" t="n">
        <v>1</v>
      </c>
      <c r="G192" s="25" t="n">
        <v>0.112137716671497</v>
      </c>
      <c r="H192" s="25" t="n">
        <v>0.0240578712519713</v>
      </c>
      <c r="I192" s="25" t="n">
        <v>0.0194702616557046</v>
      </c>
      <c r="J192" s="24" t="n">
        <v>0.987425132499703</v>
      </c>
      <c r="K192" s="30" t="n">
        <v>6.56645868418612</v>
      </c>
      <c r="L192" s="25" t="n">
        <v>0.0774954378792138</v>
      </c>
      <c r="M192" s="23" t="n">
        <v>16</v>
      </c>
      <c r="N192" s="23" t="n">
        <v>17</v>
      </c>
      <c r="O192" s="23" t="n">
        <v>5</v>
      </c>
      <c r="P192" s="23" t="n">
        <v>799</v>
      </c>
      <c r="Q192" s="23" t="n">
        <v>299</v>
      </c>
      <c r="R192" s="27" t="str">
        <f aca="false">IF(G192=_xlfn.MINIFS($G$2:$G$361,$A$2:$A$361,$A192),"BEST","")</f>
        <v/>
      </c>
    </row>
    <row r="193" customFormat="false" ht="15" hidden="false" customHeight="false" outlineLevel="0" collapsed="false">
      <c r="A193" s="22" t="s">
        <v>50</v>
      </c>
      <c r="B193" s="22" t="s">
        <v>116</v>
      </c>
      <c r="C193" s="22" t="s">
        <v>72</v>
      </c>
      <c r="D193" s="22" t="s">
        <v>93</v>
      </c>
      <c r="E193" s="23" t="s">
        <v>94</v>
      </c>
      <c r="F193" s="23" t="n">
        <v>0</v>
      </c>
      <c r="G193" s="25" t="n">
        <v>0.112631360234222</v>
      </c>
      <c r="H193" s="25" t="n">
        <v>0.024163776861867</v>
      </c>
      <c r="I193" s="25" t="n">
        <v>0.0179684896101574</v>
      </c>
      <c r="J193" s="24" t="n">
        <v>0.987314176691789</v>
      </c>
      <c r="K193" s="30" t="n">
        <v>7.68577236065693</v>
      </c>
      <c r="L193" s="25" t="n">
        <v>0.0886214323746866</v>
      </c>
      <c r="M193" s="23" t="n">
        <v>16</v>
      </c>
      <c r="N193" s="23" t="n">
        <v>17</v>
      </c>
      <c r="O193" s="23" t="n">
        <v>5</v>
      </c>
      <c r="P193" s="23" t="n">
        <v>799</v>
      </c>
      <c r="Q193" s="23" t="n">
        <v>299</v>
      </c>
      <c r="R193" s="27" t="str">
        <f aca="false">IF(G193=_xlfn.MINIFS($G$2:$G$361,$A$2:$A$361,$A193),"BEST","")</f>
        <v/>
      </c>
    </row>
    <row r="194" customFormat="false" ht="15" hidden="false" customHeight="false" outlineLevel="0" collapsed="false">
      <c r="A194" s="16" t="s">
        <v>50</v>
      </c>
      <c r="B194" s="16" t="s">
        <v>104</v>
      </c>
      <c r="C194" s="16" t="s">
        <v>68</v>
      </c>
      <c r="D194" s="16" t="s">
        <v>89</v>
      </c>
      <c r="E194" s="17" t="s">
        <v>105</v>
      </c>
      <c r="F194" s="17" t="n">
        <v>1</v>
      </c>
      <c r="G194" s="19" t="n">
        <v>0.113077972027739</v>
      </c>
      <c r="H194" s="19" t="n">
        <v>0.0242595923407885</v>
      </c>
      <c r="I194" s="19" t="n">
        <v>0.019409020713821</v>
      </c>
      <c r="J194" s="18" t="n">
        <v>0.987213372242094</v>
      </c>
      <c r="K194" s="29" t="n">
        <v>7.14429693086802</v>
      </c>
      <c r="L194" s="19" t="n">
        <v>0.071593099531732</v>
      </c>
      <c r="M194" s="17" t="n">
        <v>300</v>
      </c>
      <c r="N194" s="17" t="n">
        <v>301</v>
      </c>
      <c r="O194" s="17" t="n">
        <v>3</v>
      </c>
      <c r="P194" s="17" t="n">
        <v>799</v>
      </c>
      <c r="Q194" s="17" t="n">
        <v>299</v>
      </c>
      <c r="R194" s="27" t="str">
        <f aca="false">IF(G194=_xlfn.MINIFS($G$2:$G$361,$A$2:$A$361,$A194),"BEST","")</f>
        <v/>
      </c>
    </row>
    <row r="195" customFormat="false" ht="15" hidden="false" customHeight="false" outlineLevel="0" collapsed="false">
      <c r="A195" s="16" t="s">
        <v>50</v>
      </c>
      <c r="B195" s="16" t="s">
        <v>106</v>
      </c>
      <c r="C195" s="16" t="s">
        <v>68</v>
      </c>
      <c r="D195" s="16" t="s">
        <v>107</v>
      </c>
      <c r="E195" s="17" t="s">
        <v>108</v>
      </c>
      <c r="F195" s="17" t="n">
        <v>0</v>
      </c>
      <c r="G195" s="19" t="n">
        <v>0.119271463107859</v>
      </c>
      <c r="H195" s="19" t="n">
        <v>0.0255883353848638</v>
      </c>
      <c r="I195" s="19" t="n">
        <v>0.0199525844811314</v>
      </c>
      <c r="J195" s="18" t="n">
        <v>0.985774318088111</v>
      </c>
      <c r="K195" s="29" t="n">
        <v>8.54188386598529</v>
      </c>
      <c r="L195" s="19" t="n">
        <v>0.0827010736672565</v>
      </c>
      <c r="M195" s="17" t="n">
        <v>8</v>
      </c>
      <c r="N195" s="17" t="n">
        <v>8897</v>
      </c>
      <c r="O195" s="17" t="n">
        <v>8</v>
      </c>
      <c r="P195" s="17" t="n">
        <v>640</v>
      </c>
      <c r="Q195" s="17" t="n">
        <v>299</v>
      </c>
      <c r="R195" s="27" t="str">
        <f aca="false">IF(G195=_xlfn.MINIFS($G$2:$G$361,$A$2:$A$361,$A195),"BEST","")</f>
        <v/>
      </c>
    </row>
    <row r="196" customFormat="false" ht="15" hidden="false" customHeight="false" outlineLevel="0" collapsed="false">
      <c r="A196" s="16" t="s">
        <v>50</v>
      </c>
      <c r="B196" s="16" t="s">
        <v>104</v>
      </c>
      <c r="C196" s="16" t="s">
        <v>68</v>
      </c>
      <c r="D196" s="16" t="s">
        <v>89</v>
      </c>
      <c r="E196" s="17" t="s">
        <v>105</v>
      </c>
      <c r="F196" s="17" t="n">
        <v>3</v>
      </c>
      <c r="G196" s="19" t="n">
        <v>0.119852991784532</v>
      </c>
      <c r="H196" s="19" t="n">
        <v>0.0257130957460339</v>
      </c>
      <c r="I196" s="19" t="n">
        <v>0.0197343970590765</v>
      </c>
      <c r="J196" s="18" t="n">
        <v>0.985635260360297</v>
      </c>
      <c r="K196" s="29" t="n">
        <v>6.79133755060942</v>
      </c>
      <c r="L196" s="19" t="n">
        <v>0.0737026834272341</v>
      </c>
      <c r="M196" s="17" t="n">
        <v>300</v>
      </c>
      <c r="N196" s="17" t="n">
        <v>301</v>
      </c>
      <c r="O196" s="17" t="n">
        <v>3</v>
      </c>
      <c r="P196" s="17" t="n">
        <v>799</v>
      </c>
      <c r="Q196" s="17" t="n">
        <v>299</v>
      </c>
      <c r="R196" s="27" t="str">
        <f aca="false">IF(G196=_xlfn.MINIFS($G$2:$G$361,$A$2:$A$361,$A196),"BEST","")</f>
        <v/>
      </c>
    </row>
    <row r="197" customFormat="false" ht="15" hidden="false" customHeight="false" outlineLevel="0" collapsed="false">
      <c r="A197" s="16" t="s">
        <v>50</v>
      </c>
      <c r="B197" s="16" t="s">
        <v>104</v>
      </c>
      <c r="C197" s="16" t="s">
        <v>68</v>
      </c>
      <c r="D197" s="16" t="s">
        <v>89</v>
      </c>
      <c r="E197" s="17" t="s">
        <v>105</v>
      </c>
      <c r="F197" s="17" t="n">
        <v>2</v>
      </c>
      <c r="G197" s="19" t="n">
        <v>0.123179413988577</v>
      </c>
      <c r="H197" s="19" t="n">
        <v>0.0264267417831569</v>
      </c>
      <c r="I197" s="19" t="n">
        <v>0.0211268188456122</v>
      </c>
      <c r="J197" s="18" t="n">
        <v>0.984826831969431</v>
      </c>
      <c r="K197" s="29" t="n">
        <v>7.56358359810394</v>
      </c>
      <c r="L197" s="19" t="n">
        <v>0.078760456075105</v>
      </c>
      <c r="M197" s="17" t="n">
        <v>300</v>
      </c>
      <c r="N197" s="17" t="n">
        <v>301</v>
      </c>
      <c r="O197" s="17" t="n">
        <v>3</v>
      </c>
      <c r="P197" s="17" t="n">
        <v>799</v>
      </c>
      <c r="Q197" s="17" t="n">
        <v>299</v>
      </c>
      <c r="R197" s="27" t="str">
        <f aca="false">IF(G197=_xlfn.MINIFS($G$2:$G$361,$A$2:$A$361,$A197),"BEST","")</f>
        <v/>
      </c>
    </row>
    <row r="198" customFormat="false" ht="15" hidden="false" customHeight="false" outlineLevel="0" collapsed="false">
      <c r="A198" s="16" t="s">
        <v>50</v>
      </c>
      <c r="B198" s="16" t="s">
        <v>104</v>
      </c>
      <c r="C198" s="16" t="s">
        <v>68</v>
      </c>
      <c r="D198" s="16" t="s">
        <v>89</v>
      </c>
      <c r="E198" s="17" t="s">
        <v>105</v>
      </c>
      <c r="F198" s="17" t="n">
        <v>4</v>
      </c>
      <c r="G198" s="19" t="n">
        <v>0.124768247390217</v>
      </c>
      <c r="H198" s="19" t="n">
        <v>0.026767607912342</v>
      </c>
      <c r="I198" s="19" t="n">
        <v>0.0206750915598571</v>
      </c>
      <c r="J198" s="18" t="n">
        <v>0.984432884443174</v>
      </c>
      <c r="K198" s="29" t="n">
        <v>7.76156262346861</v>
      </c>
      <c r="L198" s="19" t="n">
        <v>0.0872739168213497</v>
      </c>
      <c r="M198" s="17" t="n">
        <v>300</v>
      </c>
      <c r="N198" s="17" t="n">
        <v>301</v>
      </c>
      <c r="O198" s="17" t="n">
        <v>3</v>
      </c>
      <c r="P198" s="17" t="n">
        <v>799</v>
      </c>
      <c r="Q198" s="17" t="n">
        <v>299</v>
      </c>
      <c r="R198" s="27" t="str">
        <f aca="false">IF(G198=_xlfn.MINIFS($G$2:$G$361,$A$2:$A$361,$A198),"BEST","")</f>
        <v/>
      </c>
    </row>
    <row r="199" customFormat="false" ht="15" hidden="false" customHeight="false" outlineLevel="0" collapsed="false">
      <c r="A199" s="16" t="s">
        <v>50</v>
      </c>
      <c r="B199" s="16" t="s">
        <v>110</v>
      </c>
      <c r="C199" s="16" t="s">
        <v>68</v>
      </c>
      <c r="D199" s="16" t="s">
        <v>107</v>
      </c>
      <c r="E199" s="17" t="s">
        <v>108</v>
      </c>
      <c r="F199" s="17" t="n">
        <v>4</v>
      </c>
      <c r="G199" s="19" t="n">
        <v>0.134787140973266</v>
      </c>
      <c r="H199" s="19" t="n">
        <v>0.0289170475394596</v>
      </c>
      <c r="I199" s="19" t="n">
        <v>0.0212579748385452</v>
      </c>
      <c r="J199" s="18" t="n">
        <v>0.981832426628253</v>
      </c>
      <c r="K199" s="29" t="n">
        <v>8.70136985717424</v>
      </c>
      <c r="L199" s="19" t="n">
        <v>0.103217870305445</v>
      </c>
      <c r="M199" s="17" t="n">
        <v>8</v>
      </c>
      <c r="N199" s="17" t="n">
        <v>12673</v>
      </c>
      <c r="O199" s="17" t="n">
        <v>8</v>
      </c>
      <c r="P199" s="17" t="n">
        <v>640</v>
      </c>
      <c r="Q199" s="17" t="n">
        <v>299</v>
      </c>
      <c r="R199" s="27" t="str">
        <f aca="false">IF(G199=_xlfn.MINIFS($G$2:$G$361,$A$2:$A$361,$A199),"BEST","")</f>
        <v/>
      </c>
    </row>
    <row r="200" customFormat="false" ht="15" hidden="false" customHeight="false" outlineLevel="0" collapsed="false">
      <c r="A200" s="16" t="s">
        <v>50</v>
      </c>
      <c r="B200" s="16" t="s">
        <v>117</v>
      </c>
      <c r="C200" s="16" t="s">
        <v>68</v>
      </c>
      <c r="D200" s="16" t="s">
        <v>107</v>
      </c>
      <c r="E200" s="17" t="s">
        <v>108</v>
      </c>
      <c r="F200" s="17" t="n">
        <v>0</v>
      </c>
      <c r="G200" s="19" t="n">
        <v>0.138000293344958</v>
      </c>
      <c r="H200" s="19" t="n">
        <v>0.0296063928227918</v>
      </c>
      <c r="I200" s="19" t="n">
        <v>0.0239790791434627</v>
      </c>
      <c r="J200" s="18" t="n">
        <v>0.980955919036705</v>
      </c>
      <c r="K200" s="29" t="n">
        <v>10.9026877498471</v>
      </c>
      <c r="L200" s="19" t="n">
        <v>0.0969986917752068</v>
      </c>
      <c r="M200" s="17" t="n">
        <v>8</v>
      </c>
      <c r="N200" s="17" t="n">
        <v>17217</v>
      </c>
      <c r="O200" s="17" t="n">
        <v>8</v>
      </c>
      <c r="P200" s="17" t="n">
        <v>640</v>
      </c>
      <c r="Q200" s="17" t="n">
        <v>299</v>
      </c>
      <c r="R200" s="27" t="str">
        <f aca="false">IF(G200=_xlfn.MINIFS($G$2:$G$361,$A$2:$A$361,$A200),"BEST","")</f>
        <v/>
      </c>
    </row>
    <row r="201" customFormat="false" ht="15" hidden="false" customHeight="false" outlineLevel="0" collapsed="false">
      <c r="A201" s="16" t="s">
        <v>50</v>
      </c>
      <c r="B201" s="16" t="s">
        <v>117</v>
      </c>
      <c r="C201" s="16" t="s">
        <v>68</v>
      </c>
      <c r="D201" s="16" t="s">
        <v>107</v>
      </c>
      <c r="E201" s="17" t="s">
        <v>108</v>
      </c>
      <c r="F201" s="17" t="n">
        <v>3</v>
      </c>
      <c r="G201" s="19" t="n">
        <v>0.138474866641127</v>
      </c>
      <c r="H201" s="19" t="n">
        <v>0.029708207123972</v>
      </c>
      <c r="I201" s="19" t="n">
        <v>0.0243380465887442</v>
      </c>
      <c r="J201" s="18" t="n">
        <v>0.980824711308722</v>
      </c>
      <c r="K201" s="29" t="n">
        <v>8.52283130304264</v>
      </c>
      <c r="L201" s="19" t="n">
        <v>0.073369266173093</v>
      </c>
      <c r="M201" s="17" t="n">
        <v>8</v>
      </c>
      <c r="N201" s="17" t="n">
        <v>17217</v>
      </c>
      <c r="O201" s="17" t="n">
        <v>8</v>
      </c>
      <c r="P201" s="17" t="n">
        <v>640</v>
      </c>
      <c r="Q201" s="17" t="n">
        <v>299</v>
      </c>
      <c r="R201" s="27" t="str">
        <f aca="false">IF(G201=_xlfn.MINIFS($G$2:$G$361,$A$2:$A$361,$A201),"BEST","")</f>
        <v/>
      </c>
    </row>
    <row r="202" customFormat="false" ht="15" hidden="false" customHeight="false" outlineLevel="0" collapsed="false">
      <c r="A202" s="16" t="s">
        <v>50</v>
      </c>
      <c r="B202" s="16" t="s">
        <v>122</v>
      </c>
      <c r="C202" s="16" t="s">
        <v>68</v>
      </c>
      <c r="D202" s="16" t="s">
        <v>121</v>
      </c>
      <c r="E202" s="17" t="s">
        <v>123</v>
      </c>
      <c r="F202" s="17" t="n">
        <v>0</v>
      </c>
      <c r="G202" s="19" t="n">
        <v>0.143430017014835</v>
      </c>
      <c r="H202" s="19" t="n">
        <v>0.030771278258852</v>
      </c>
      <c r="I202" s="19" t="n">
        <v>0.0259518975028483</v>
      </c>
      <c r="J202" s="18" t="n">
        <v>0.979427830219124</v>
      </c>
      <c r="K202" s="29" t="n">
        <v>11.6583211176486</v>
      </c>
      <c r="L202" s="19" t="n">
        <v>0.0994647622080386</v>
      </c>
      <c r="M202" s="17" t="n">
        <v>2</v>
      </c>
      <c r="N202" s="17" t="n">
        <v>4</v>
      </c>
      <c r="O202" s="17" t="n">
        <v>1</v>
      </c>
      <c r="P202" s="17" t="n">
        <v>800</v>
      </c>
      <c r="Q202" s="17" t="n">
        <v>299</v>
      </c>
      <c r="R202" s="27" t="str">
        <f aca="false">IF(G202=_xlfn.MINIFS($G$2:$G$361,$A$2:$A$361,$A202),"BEST","")</f>
        <v/>
      </c>
    </row>
    <row r="203" customFormat="false" ht="15" hidden="false" customHeight="false" outlineLevel="0" collapsed="false">
      <c r="A203" s="16" t="s">
        <v>50</v>
      </c>
      <c r="B203" s="16" t="s">
        <v>122</v>
      </c>
      <c r="C203" s="16" t="s">
        <v>68</v>
      </c>
      <c r="D203" s="16" t="s">
        <v>121</v>
      </c>
      <c r="E203" s="17" t="s">
        <v>123</v>
      </c>
      <c r="F203" s="17" t="n">
        <v>1</v>
      </c>
      <c r="G203" s="19" t="n">
        <v>0.143430017014835</v>
      </c>
      <c r="H203" s="19" t="n">
        <v>0.030771278258852</v>
      </c>
      <c r="I203" s="19" t="n">
        <v>0.0259518975028483</v>
      </c>
      <c r="J203" s="18" t="n">
        <v>0.979427830219124</v>
      </c>
      <c r="K203" s="29" t="n">
        <v>11.6583211176486</v>
      </c>
      <c r="L203" s="19" t="n">
        <v>0.0994647622080386</v>
      </c>
      <c r="M203" s="17" t="n">
        <v>2</v>
      </c>
      <c r="N203" s="17" t="n">
        <v>4</v>
      </c>
      <c r="O203" s="17" t="n">
        <v>1</v>
      </c>
      <c r="P203" s="17" t="n">
        <v>800</v>
      </c>
      <c r="Q203" s="17" t="n">
        <v>299</v>
      </c>
      <c r="R203" s="27" t="str">
        <f aca="false">IF(G203=_xlfn.MINIFS($G$2:$G$361,$A$2:$A$361,$A203),"BEST","")</f>
        <v/>
      </c>
    </row>
    <row r="204" customFormat="false" ht="15" hidden="false" customHeight="false" outlineLevel="0" collapsed="false">
      <c r="A204" s="16" t="s">
        <v>50</v>
      </c>
      <c r="B204" s="16" t="s">
        <v>122</v>
      </c>
      <c r="C204" s="16" t="s">
        <v>68</v>
      </c>
      <c r="D204" s="16" t="s">
        <v>121</v>
      </c>
      <c r="E204" s="17" t="s">
        <v>123</v>
      </c>
      <c r="F204" s="17" t="n">
        <v>2</v>
      </c>
      <c r="G204" s="19" t="n">
        <v>0.143430017014835</v>
      </c>
      <c r="H204" s="19" t="n">
        <v>0.030771278258852</v>
      </c>
      <c r="I204" s="19" t="n">
        <v>0.0259518975028483</v>
      </c>
      <c r="J204" s="18" t="n">
        <v>0.979427830219124</v>
      </c>
      <c r="K204" s="29" t="n">
        <v>11.6583211176486</v>
      </c>
      <c r="L204" s="19" t="n">
        <v>0.0994647622080386</v>
      </c>
      <c r="M204" s="17" t="n">
        <v>2</v>
      </c>
      <c r="N204" s="17" t="n">
        <v>4</v>
      </c>
      <c r="O204" s="17" t="n">
        <v>1</v>
      </c>
      <c r="P204" s="17" t="n">
        <v>800</v>
      </c>
      <c r="Q204" s="17" t="n">
        <v>299</v>
      </c>
      <c r="R204" s="27" t="str">
        <f aca="false">IF(G204=_xlfn.MINIFS($G$2:$G$361,$A$2:$A$361,$A204),"BEST","")</f>
        <v/>
      </c>
    </row>
    <row r="205" customFormat="false" ht="15" hidden="false" customHeight="false" outlineLevel="0" collapsed="false">
      <c r="A205" s="16" t="s">
        <v>50</v>
      </c>
      <c r="B205" s="16" t="s">
        <v>122</v>
      </c>
      <c r="C205" s="16" t="s">
        <v>68</v>
      </c>
      <c r="D205" s="16" t="s">
        <v>121</v>
      </c>
      <c r="E205" s="17" t="s">
        <v>123</v>
      </c>
      <c r="F205" s="17" t="n">
        <v>3</v>
      </c>
      <c r="G205" s="19" t="n">
        <v>0.143430017014835</v>
      </c>
      <c r="H205" s="19" t="n">
        <v>0.030771278258852</v>
      </c>
      <c r="I205" s="19" t="n">
        <v>0.0259518975028483</v>
      </c>
      <c r="J205" s="18" t="n">
        <v>0.979427830219124</v>
      </c>
      <c r="K205" s="29" t="n">
        <v>11.6583211176486</v>
      </c>
      <c r="L205" s="19" t="n">
        <v>0.0994647622080386</v>
      </c>
      <c r="M205" s="17" t="n">
        <v>2</v>
      </c>
      <c r="N205" s="17" t="n">
        <v>4</v>
      </c>
      <c r="O205" s="17" t="n">
        <v>1</v>
      </c>
      <c r="P205" s="17" t="n">
        <v>800</v>
      </c>
      <c r="Q205" s="17" t="n">
        <v>299</v>
      </c>
      <c r="R205" s="27" t="str">
        <f aca="false">IF(G205=_xlfn.MINIFS($G$2:$G$361,$A$2:$A$361,$A205),"BEST","")</f>
        <v/>
      </c>
    </row>
    <row r="206" customFormat="false" ht="15" hidden="false" customHeight="false" outlineLevel="0" collapsed="false">
      <c r="A206" s="16" t="s">
        <v>50</v>
      </c>
      <c r="B206" s="16" t="s">
        <v>122</v>
      </c>
      <c r="C206" s="16" t="s">
        <v>68</v>
      </c>
      <c r="D206" s="16" t="s">
        <v>121</v>
      </c>
      <c r="E206" s="17" t="s">
        <v>123</v>
      </c>
      <c r="F206" s="17" t="n">
        <v>4</v>
      </c>
      <c r="G206" s="19" t="n">
        <v>0.143430017014835</v>
      </c>
      <c r="H206" s="19" t="n">
        <v>0.030771278258852</v>
      </c>
      <c r="I206" s="19" t="n">
        <v>0.0259518975028483</v>
      </c>
      <c r="J206" s="18" t="n">
        <v>0.979427830219124</v>
      </c>
      <c r="K206" s="29" t="n">
        <v>11.6583211176486</v>
      </c>
      <c r="L206" s="19" t="n">
        <v>0.0994647622080386</v>
      </c>
      <c r="M206" s="17" t="n">
        <v>2</v>
      </c>
      <c r="N206" s="17" t="n">
        <v>4</v>
      </c>
      <c r="O206" s="17" t="n">
        <v>1</v>
      </c>
      <c r="P206" s="17" t="n">
        <v>800</v>
      </c>
      <c r="Q206" s="17" t="n">
        <v>299</v>
      </c>
      <c r="R206" s="27" t="str">
        <f aca="false">IF(G206=_xlfn.MINIFS($G$2:$G$361,$A$2:$A$361,$A206),"BEST","")</f>
        <v/>
      </c>
    </row>
    <row r="207" customFormat="false" ht="15" hidden="false" customHeight="false" outlineLevel="0" collapsed="false">
      <c r="A207" s="16" t="s">
        <v>50</v>
      </c>
      <c r="B207" s="16" t="s">
        <v>110</v>
      </c>
      <c r="C207" s="16" t="s">
        <v>68</v>
      </c>
      <c r="D207" s="16" t="s">
        <v>107</v>
      </c>
      <c r="E207" s="17" t="s">
        <v>108</v>
      </c>
      <c r="F207" s="17" t="n">
        <v>1</v>
      </c>
      <c r="G207" s="19" t="n">
        <v>0.143787364525333</v>
      </c>
      <c r="H207" s="19" t="n">
        <v>0.0308479431014666</v>
      </c>
      <c r="I207" s="19" t="n">
        <v>0.0226236619271417</v>
      </c>
      <c r="J207" s="18" t="n">
        <v>0.979325193802859</v>
      </c>
      <c r="K207" s="29" t="n">
        <v>8.84917141294184</v>
      </c>
      <c r="L207" s="19" t="n">
        <v>0.101454490977713</v>
      </c>
      <c r="M207" s="17" t="n">
        <v>8</v>
      </c>
      <c r="N207" s="17" t="n">
        <v>12673</v>
      </c>
      <c r="O207" s="17" t="n">
        <v>8</v>
      </c>
      <c r="P207" s="17" t="n">
        <v>640</v>
      </c>
      <c r="Q207" s="17" t="n">
        <v>299</v>
      </c>
      <c r="R207" s="27" t="str">
        <f aca="false">IF(G207=_xlfn.MINIFS($G$2:$G$361,$A$2:$A$361,$A207),"BEST","")</f>
        <v/>
      </c>
    </row>
    <row r="208" customFormat="false" ht="15" hidden="false" customHeight="false" outlineLevel="0" collapsed="false">
      <c r="A208" s="22" t="s">
        <v>50</v>
      </c>
      <c r="B208" s="22" t="s">
        <v>111</v>
      </c>
      <c r="C208" s="22" t="s">
        <v>72</v>
      </c>
      <c r="D208" s="22" t="s">
        <v>93</v>
      </c>
      <c r="E208" s="23" t="s">
        <v>94</v>
      </c>
      <c r="F208" s="23" t="n">
        <v>3</v>
      </c>
      <c r="G208" s="25" t="n">
        <v>0.158172368485884</v>
      </c>
      <c r="H208" s="25" t="n">
        <v>0.033934082034149</v>
      </c>
      <c r="I208" s="25" t="n">
        <v>0.0246989077472838</v>
      </c>
      <c r="J208" s="24" t="n">
        <v>0.974981501847566</v>
      </c>
      <c r="K208" s="30" t="n">
        <v>9.784870862904</v>
      </c>
      <c r="L208" s="25" t="n">
        <v>0.139911040795315</v>
      </c>
      <c r="M208" s="23" t="n">
        <v>24</v>
      </c>
      <c r="N208" s="23" t="n">
        <v>25</v>
      </c>
      <c r="O208" s="23" t="n">
        <v>5</v>
      </c>
      <c r="P208" s="23" t="n">
        <v>799</v>
      </c>
      <c r="Q208" s="23" t="n">
        <v>299</v>
      </c>
      <c r="R208" s="27" t="str">
        <f aca="false">IF(G208=_xlfn.MINIFS($G$2:$G$361,$A$2:$A$361,$A208),"BEST","")</f>
        <v/>
      </c>
    </row>
    <row r="209" customFormat="false" ht="15" hidden="false" customHeight="false" outlineLevel="0" collapsed="false">
      <c r="A209" s="16" t="s">
        <v>50</v>
      </c>
      <c r="B209" s="16" t="s">
        <v>110</v>
      </c>
      <c r="C209" s="16" t="s">
        <v>68</v>
      </c>
      <c r="D209" s="16" t="s">
        <v>107</v>
      </c>
      <c r="E209" s="17" t="s">
        <v>108</v>
      </c>
      <c r="F209" s="17" t="n">
        <v>3</v>
      </c>
      <c r="G209" s="19" t="n">
        <v>0.163695984532554</v>
      </c>
      <c r="H209" s="19" t="n">
        <v>0.0351191110113789</v>
      </c>
      <c r="I209" s="19" t="n">
        <v>0.0261678998990673</v>
      </c>
      <c r="J209" s="18" t="n">
        <v>0.973203624647918</v>
      </c>
      <c r="K209" s="29" t="n">
        <v>9.85773926858977</v>
      </c>
      <c r="L209" s="19" t="n">
        <v>0.129405960749056</v>
      </c>
      <c r="M209" s="17" t="n">
        <v>8</v>
      </c>
      <c r="N209" s="17" t="n">
        <v>12673</v>
      </c>
      <c r="O209" s="17" t="n">
        <v>8</v>
      </c>
      <c r="P209" s="17" t="n">
        <v>640</v>
      </c>
      <c r="Q209" s="17" t="n">
        <v>299</v>
      </c>
      <c r="R209" s="27" t="str">
        <f aca="false">IF(G209=_xlfn.MINIFS($G$2:$G$361,$A$2:$A$361,$A209),"BEST","")</f>
        <v/>
      </c>
    </row>
    <row r="210" customFormat="false" ht="15" hidden="false" customHeight="false" outlineLevel="0" collapsed="false">
      <c r="A210" s="22" t="s">
        <v>50</v>
      </c>
      <c r="B210" s="22" t="s">
        <v>111</v>
      </c>
      <c r="C210" s="22" t="s">
        <v>72</v>
      </c>
      <c r="D210" s="22" t="s">
        <v>93</v>
      </c>
      <c r="E210" s="23" t="s">
        <v>94</v>
      </c>
      <c r="F210" s="23" t="n">
        <v>0</v>
      </c>
      <c r="G210" s="25" t="n">
        <v>0.164216918726321</v>
      </c>
      <c r="H210" s="25" t="n">
        <v>0.0352308715156623</v>
      </c>
      <c r="I210" s="25" t="n">
        <v>0.025822655084563</v>
      </c>
      <c r="J210" s="24" t="n">
        <v>0.973032803604033</v>
      </c>
      <c r="K210" s="30" t="n">
        <v>10.049595025366</v>
      </c>
      <c r="L210" s="25" t="n">
        <v>0.141056907834524</v>
      </c>
      <c r="M210" s="23" t="n">
        <v>24</v>
      </c>
      <c r="N210" s="23" t="n">
        <v>25</v>
      </c>
      <c r="O210" s="23" t="n">
        <v>5</v>
      </c>
      <c r="P210" s="23" t="n">
        <v>799</v>
      </c>
      <c r="Q210" s="23" t="n">
        <v>299</v>
      </c>
      <c r="R210" s="27" t="str">
        <f aca="false">IF(G210=_xlfn.MINIFS($G$2:$G$361,$A$2:$A$361,$A210),"BEST","")</f>
        <v/>
      </c>
    </row>
    <row r="211" customFormat="false" ht="15" hidden="false" customHeight="false" outlineLevel="0" collapsed="false">
      <c r="A211" s="22" t="s">
        <v>50</v>
      </c>
      <c r="B211" s="22" t="s">
        <v>111</v>
      </c>
      <c r="C211" s="22" t="s">
        <v>72</v>
      </c>
      <c r="D211" s="22" t="s">
        <v>93</v>
      </c>
      <c r="E211" s="23" t="s">
        <v>94</v>
      </c>
      <c r="F211" s="23" t="n">
        <v>2</v>
      </c>
      <c r="G211" s="25" t="n">
        <v>0.165630844159525</v>
      </c>
      <c r="H211" s="25" t="n">
        <v>0.0355342131302555</v>
      </c>
      <c r="I211" s="25" t="n">
        <v>0.0261321496122615</v>
      </c>
      <c r="J211" s="24" t="n">
        <v>0.972566423463003</v>
      </c>
      <c r="K211" s="30" t="n">
        <v>9.8694265579153</v>
      </c>
      <c r="L211" s="25" t="n">
        <v>0.151729404813533</v>
      </c>
      <c r="M211" s="23" t="n">
        <v>24</v>
      </c>
      <c r="N211" s="23" t="n">
        <v>25</v>
      </c>
      <c r="O211" s="23" t="n">
        <v>5</v>
      </c>
      <c r="P211" s="23" t="n">
        <v>799</v>
      </c>
      <c r="Q211" s="23" t="n">
        <v>299</v>
      </c>
      <c r="R211" s="27" t="str">
        <f aca="false">IF(G211=_xlfn.MINIFS($G$2:$G$361,$A$2:$A$361,$A211),"BEST","")</f>
        <v/>
      </c>
    </row>
    <row r="212" customFormat="false" ht="15" hidden="false" customHeight="false" outlineLevel="0" collapsed="false">
      <c r="A212" s="22" t="s">
        <v>50</v>
      </c>
      <c r="B212" s="22" t="s">
        <v>111</v>
      </c>
      <c r="C212" s="22" t="s">
        <v>72</v>
      </c>
      <c r="D212" s="22" t="s">
        <v>93</v>
      </c>
      <c r="E212" s="23" t="s">
        <v>94</v>
      </c>
      <c r="F212" s="23" t="n">
        <v>1</v>
      </c>
      <c r="G212" s="25" t="n">
        <v>0.178154106873014</v>
      </c>
      <c r="H212" s="25" t="n">
        <v>0.038220936660558</v>
      </c>
      <c r="I212" s="25" t="n">
        <v>0.0280707305099157</v>
      </c>
      <c r="J212" s="24" t="n">
        <v>0.968261114204279</v>
      </c>
      <c r="K212" s="30" t="n">
        <v>9.97218181064868</v>
      </c>
      <c r="L212" s="25" t="n">
        <v>0.176696155347986</v>
      </c>
      <c r="M212" s="23" t="n">
        <v>24</v>
      </c>
      <c r="N212" s="23" t="n">
        <v>25</v>
      </c>
      <c r="O212" s="23" t="n">
        <v>5</v>
      </c>
      <c r="P212" s="23" t="n">
        <v>799</v>
      </c>
      <c r="Q212" s="23" t="n">
        <v>299</v>
      </c>
      <c r="R212" s="27" t="str">
        <f aca="false">IF(G212=_xlfn.MINIFS($G$2:$G$361,$A$2:$A$361,$A212),"BEST","")</f>
        <v/>
      </c>
    </row>
    <row r="213" customFormat="false" ht="15" hidden="false" customHeight="false" outlineLevel="0" collapsed="false">
      <c r="A213" s="16" t="s">
        <v>50</v>
      </c>
      <c r="B213" s="16" t="s">
        <v>106</v>
      </c>
      <c r="C213" s="16" t="s">
        <v>68</v>
      </c>
      <c r="D213" s="16" t="s">
        <v>107</v>
      </c>
      <c r="E213" s="17" t="s">
        <v>108</v>
      </c>
      <c r="F213" s="17" t="n">
        <v>1</v>
      </c>
      <c r="G213" s="19" t="n">
        <v>0.181974863370717</v>
      </c>
      <c r="H213" s="19" t="n">
        <v>0.0390406364960394</v>
      </c>
      <c r="I213" s="19" t="n">
        <v>0.0320484858042497</v>
      </c>
      <c r="J213" s="18" t="n">
        <v>0.966885149101209</v>
      </c>
      <c r="K213" s="29" t="n">
        <v>11.7447012790047</v>
      </c>
      <c r="L213" s="19" t="n">
        <v>0.111931794346363</v>
      </c>
      <c r="M213" s="17" t="n">
        <v>8</v>
      </c>
      <c r="N213" s="17" t="n">
        <v>8897</v>
      </c>
      <c r="O213" s="17" t="n">
        <v>8</v>
      </c>
      <c r="P213" s="17" t="n">
        <v>640</v>
      </c>
      <c r="Q213" s="17" t="n">
        <v>299</v>
      </c>
      <c r="R213" s="27" t="str">
        <f aca="false">IF(G213=_xlfn.MINIFS($G$2:$G$361,$A$2:$A$361,$A213),"BEST","")</f>
        <v/>
      </c>
    </row>
    <row r="214" customFormat="false" ht="15" hidden="false" customHeight="false" outlineLevel="0" collapsed="false">
      <c r="A214" s="16" t="s">
        <v>50</v>
      </c>
      <c r="B214" s="16" t="s">
        <v>117</v>
      </c>
      <c r="C214" s="16" t="s">
        <v>68</v>
      </c>
      <c r="D214" s="16" t="s">
        <v>107</v>
      </c>
      <c r="E214" s="17" t="s">
        <v>108</v>
      </c>
      <c r="F214" s="17" t="n">
        <v>2</v>
      </c>
      <c r="G214" s="19" t="n">
        <v>0.183282382083329</v>
      </c>
      <c r="H214" s="19" t="n">
        <v>0.0393211497593842</v>
      </c>
      <c r="I214" s="19" t="n">
        <v>0.0317795328573947</v>
      </c>
      <c r="J214" s="18" t="n">
        <v>0.966407568417861</v>
      </c>
      <c r="K214" s="29" t="n">
        <v>12.9065412586282</v>
      </c>
      <c r="L214" s="19" t="n">
        <v>0.109589988582138</v>
      </c>
      <c r="M214" s="17" t="n">
        <v>8</v>
      </c>
      <c r="N214" s="17" t="n">
        <v>17217</v>
      </c>
      <c r="O214" s="17" t="n">
        <v>8</v>
      </c>
      <c r="P214" s="17" t="n">
        <v>640</v>
      </c>
      <c r="Q214" s="17" t="n">
        <v>299</v>
      </c>
      <c r="R214" s="27" t="str">
        <f aca="false">IF(G214=_xlfn.MINIFS($G$2:$G$361,$A$2:$A$361,$A214),"BEST","")</f>
        <v/>
      </c>
    </row>
    <row r="215" customFormat="false" ht="15" hidden="false" customHeight="false" outlineLevel="0" collapsed="false">
      <c r="A215" s="16" t="s">
        <v>50</v>
      </c>
      <c r="B215" s="16" t="s">
        <v>112</v>
      </c>
      <c r="C215" s="16" t="s">
        <v>68</v>
      </c>
      <c r="D215" s="16" t="s">
        <v>98</v>
      </c>
      <c r="E215" s="17" t="s">
        <v>99</v>
      </c>
      <c r="F215" s="17" t="n">
        <v>0</v>
      </c>
      <c r="G215" s="19" t="n">
        <v>0.192635544805679</v>
      </c>
      <c r="H215" s="19" t="n">
        <v>0.0413277644047689</v>
      </c>
      <c r="I215" s="19" t="n">
        <v>0.0319666673232243</v>
      </c>
      <c r="J215" s="18" t="n">
        <v>0.962891546877419</v>
      </c>
      <c r="K215" s="29" t="n">
        <v>11.7919655732294</v>
      </c>
      <c r="L215" s="19" t="n">
        <v>0.102370733913593</v>
      </c>
      <c r="M215" s="17" t="n">
        <v>4</v>
      </c>
      <c r="N215" s="17"/>
      <c r="O215" s="17" t="n">
        <v>4</v>
      </c>
      <c r="P215" s="17" t="n">
        <v>799</v>
      </c>
      <c r="Q215" s="17" t="n">
        <v>299</v>
      </c>
      <c r="R215" s="27" t="str">
        <f aca="false">IF(G215=_xlfn.MINIFS($G$2:$G$361,$A$2:$A$361,$A215),"BEST","")</f>
        <v/>
      </c>
    </row>
    <row r="216" customFormat="false" ht="15" hidden="false" customHeight="false" outlineLevel="0" collapsed="false">
      <c r="A216" s="16" t="s">
        <v>50</v>
      </c>
      <c r="B216" s="16" t="s">
        <v>112</v>
      </c>
      <c r="C216" s="16" t="s">
        <v>68</v>
      </c>
      <c r="D216" s="16" t="s">
        <v>98</v>
      </c>
      <c r="E216" s="17" t="s">
        <v>99</v>
      </c>
      <c r="F216" s="17" t="n">
        <v>1</v>
      </c>
      <c r="G216" s="19" t="n">
        <v>0.192635544805679</v>
      </c>
      <c r="H216" s="19" t="n">
        <v>0.0413277644047689</v>
      </c>
      <c r="I216" s="19" t="n">
        <v>0.0319666673232243</v>
      </c>
      <c r="J216" s="18" t="n">
        <v>0.962891546877419</v>
      </c>
      <c r="K216" s="29" t="n">
        <v>11.7919655732294</v>
      </c>
      <c r="L216" s="19" t="n">
        <v>0.102370733913593</v>
      </c>
      <c r="M216" s="17" t="n">
        <v>4</v>
      </c>
      <c r="N216" s="17"/>
      <c r="O216" s="17" t="n">
        <v>4</v>
      </c>
      <c r="P216" s="17" t="n">
        <v>799</v>
      </c>
      <c r="Q216" s="17" t="n">
        <v>299</v>
      </c>
      <c r="R216" s="27" t="str">
        <f aca="false">IF(G216=_xlfn.MINIFS($G$2:$G$361,$A$2:$A$361,$A216),"BEST","")</f>
        <v/>
      </c>
    </row>
    <row r="217" customFormat="false" ht="15" hidden="false" customHeight="false" outlineLevel="0" collapsed="false">
      <c r="A217" s="16" t="s">
        <v>50</v>
      </c>
      <c r="B217" s="16" t="s">
        <v>112</v>
      </c>
      <c r="C217" s="16" t="s">
        <v>68</v>
      </c>
      <c r="D217" s="16" t="s">
        <v>98</v>
      </c>
      <c r="E217" s="17" t="s">
        <v>99</v>
      </c>
      <c r="F217" s="17" t="n">
        <v>2</v>
      </c>
      <c r="G217" s="19" t="n">
        <v>0.192635544805679</v>
      </c>
      <c r="H217" s="19" t="n">
        <v>0.0413277644047689</v>
      </c>
      <c r="I217" s="19" t="n">
        <v>0.0319666673232243</v>
      </c>
      <c r="J217" s="18" t="n">
        <v>0.962891546877419</v>
      </c>
      <c r="K217" s="29" t="n">
        <v>11.7919655732294</v>
      </c>
      <c r="L217" s="19" t="n">
        <v>0.102370733913593</v>
      </c>
      <c r="M217" s="17" t="n">
        <v>4</v>
      </c>
      <c r="N217" s="17"/>
      <c r="O217" s="17" t="n">
        <v>4</v>
      </c>
      <c r="P217" s="17" t="n">
        <v>799</v>
      </c>
      <c r="Q217" s="17" t="n">
        <v>299</v>
      </c>
      <c r="R217" s="27" t="str">
        <f aca="false">IF(G217=_xlfn.MINIFS($G$2:$G$361,$A$2:$A$361,$A217),"BEST","")</f>
        <v/>
      </c>
    </row>
    <row r="218" customFormat="false" ht="15" hidden="false" customHeight="false" outlineLevel="0" collapsed="false">
      <c r="A218" s="16" t="s">
        <v>50</v>
      </c>
      <c r="B218" s="16" t="s">
        <v>112</v>
      </c>
      <c r="C218" s="16" t="s">
        <v>68</v>
      </c>
      <c r="D218" s="16" t="s">
        <v>98</v>
      </c>
      <c r="E218" s="17" t="s">
        <v>99</v>
      </c>
      <c r="F218" s="17" t="n">
        <v>3</v>
      </c>
      <c r="G218" s="19" t="n">
        <v>0.192635544805679</v>
      </c>
      <c r="H218" s="19" t="n">
        <v>0.0413277644047689</v>
      </c>
      <c r="I218" s="19" t="n">
        <v>0.0319666673232243</v>
      </c>
      <c r="J218" s="18" t="n">
        <v>0.962891546877419</v>
      </c>
      <c r="K218" s="29" t="n">
        <v>11.7919655732294</v>
      </c>
      <c r="L218" s="19" t="n">
        <v>0.102370733913593</v>
      </c>
      <c r="M218" s="17" t="n">
        <v>4</v>
      </c>
      <c r="N218" s="17"/>
      <c r="O218" s="17" t="n">
        <v>4</v>
      </c>
      <c r="P218" s="17" t="n">
        <v>799</v>
      </c>
      <c r="Q218" s="17" t="n">
        <v>299</v>
      </c>
      <c r="R218" s="27" t="str">
        <f aca="false">IF(G218=_xlfn.MINIFS($G$2:$G$361,$A$2:$A$361,$A218),"BEST","")</f>
        <v/>
      </c>
    </row>
    <row r="219" customFormat="false" ht="15" hidden="false" customHeight="false" outlineLevel="0" collapsed="false">
      <c r="A219" s="16" t="s">
        <v>50</v>
      </c>
      <c r="B219" s="16" t="s">
        <v>112</v>
      </c>
      <c r="C219" s="16" t="s">
        <v>68</v>
      </c>
      <c r="D219" s="16" t="s">
        <v>98</v>
      </c>
      <c r="E219" s="17" t="s">
        <v>99</v>
      </c>
      <c r="F219" s="17" t="n">
        <v>4</v>
      </c>
      <c r="G219" s="19" t="n">
        <v>0.192635544805679</v>
      </c>
      <c r="H219" s="19" t="n">
        <v>0.0413277644047689</v>
      </c>
      <c r="I219" s="19" t="n">
        <v>0.0319666673232243</v>
      </c>
      <c r="J219" s="18" t="n">
        <v>0.962891546877419</v>
      </c>
      <c r="K219" s="29" t="n">
        <v>11.7919655732294</v>
      </c>
      <c r="L219" s="19" t="n">
        <v>0.102370733913593</v>
      </c>
      <c r="M219" s="17" t="n">
        <v>4</v>
      </c>
      <c r="N219" s="17"/>
      <c r="O219" s="17" t="n">
        <v>4</v>
      </c>
      <c r="P219" s="17" t="n">
        <v>799</v>
      </c>
      <c r="Q219" s="17" t="n">
        <v>299</v>
      </c>
      <c r="R219" s="27" t="str">
        <f aca="false">IF(G219=_xlfn.MINIFS($G$2:$G$361,$A$2:$A$361,$A219),"BEST","")</f>
        <v/>
      </c>
    </row>
    <row r="220" customFormat="false" ht="15" hidden="false" customHeight="false" outlineLevel="0" collapsed="false">
      <c r="A220" s="16" t="s">
        <v>50</v>
      </c>
      <c r="B220" s="16" t="s">
        <v>117</v>
      </c>
      <c r="C220" s="16" t="s">
        <v>68</v>
      </c>
      <c r="D220" s="16" t="s">
        <v>107</v>
      </c>
      <c r="E220" s="17" t="s">
        <v>108</v>
      </c>
      <c r="F220" s="17" t="n">
        <v>4</v>
      </c>
      <c r="G220" s="19" t="n">
        <v>0.193630050100705</v>
      </c>
      <c r="H220" s="19" t="n">
        <v>0.0415411242007173</v>
      </c>
      <c r="I220" s="19" t="n">
        <v>0.0323467644459375</v>
      </c>
      <c r="J220" s="18" t="n">
        <v>0.962507403697998</v>
      </c>
      <c r="K220" s="29" t="n">
        <v>13.1060666993889</v>
      </c>
      <c r="L220" s="19" t="n">
        <v>0.123938234230725</v>
      </c>
      <c r="M220" s="17" t="n">
        <v>8</v>
      </c>
      <c r="N220" s="17" t="n">
        <v>17217</v>
      </c>
      <c r="O220" s="17" t="n">
        <v>8</v>
      </c>
      <c r="P220" s="17" t="n">
        <v>640</v>
      </c>
      <c r="Q220" s="17" t="n">
        <v>299</v>
      </c>
      <c r="R220" s="27" t="str">
        <f aca="false">IF(G220=_xlfn.MINIFS($G$2:$G$361,$A$2:$A$361,$A220),"BEST","")</f>
        <v/>
      </c>
    </row>
    <row r="221" customFormat="false" ht="15" hidden="false" customHeight="false" outlineLevel="0" collapsed="false">
      <c r="A221" s="16" t="s">
        <v>50</v>
      </c>
      <c r="B221" s="16" t="s">
        <v>115</v>
      </c>
      <c r="C221" s="16" t="s">
        <v>68</v>
      </c>
      <c r="D221" s="16" t="s">
        <v>107</v>
      </c>
      <c r="E221" s="17" t="s">
        <v>108</v>
      </c>
      <c r="F221" s="17" t="n">
        <v>2</v>
      </c>
      <c r="G221" s="19" t="n">
        <v>0.197464407723325</v>
      </c>
      <c r="H221" s="19" t="n">
        <v>0.0423637420028012</v>
      </c>
      <c r="I221" s="19" t="n">
        <v>0.0341915524139815</v>
      </c>
      <c r="J221" s="18" t="n">
        <v>0.961007807682476</v>
      </c>
      <c r="K221" s="29" t="n">
        <v>13.7405615116723</v>
      </c>
      <c r="L221" s="19" t="n">
        <v>0.122133689217572</v>
      </c>
      <c r="M221" s="17" t="n">
        <v>8</v>
      </c>
      <c r="N221" s="17" t="n">
        <v>12929</v>
      </c>
      <c r="O221" s="17" t="n">
        <v>8</v>
      </c>
      <c r="P221" s="17" t="n">
        <v>640</v>
      </c>
      <c r="Q221" s="17" t="n">
        <v>299</v>
      </c>
      <c r="R221" s="27" t="str">
        <f aca="false">IF(G221=_xlfn.MINIFS($G$2:$G$361,$A$2:$A$361,$A221),"BEST","")</f>
        <v/>
      </c>
    </row>
    <row r="222" customFormat="false" ht="15" hidden="false" customHeight="false" outlineLevel="0" collapsed="false">
      <c r="A222" s="16" t="s">
        <v>50</v>
      </c>
      <c r="B222" s="16" t="s">
        <v>115</v>
      </c>
      <c r="C222" s="16" t="s">
        <v>68</v>
      </c>
      <c r="D222" s="16" t="s">
        <v>107</v>
      </c>
      <c r="E222" s="17" t="s">
        <v>108</v>
      </c>
      <c r="F222" s="17" t="n">
        <v>0</v>
      </c>
      <c r="G222" s="19" t="n">
        <v>0.199182926660639</v>
      </c>
      <c r="H222" s="19" t="n">
        <v>0.042732430688153</v>
      </c>
      <c r="I222" s="19" t="n">
        <v>0.0346975108931983</v>
      </c>
      <c r="J222" s="18" t="n">
        <v>0.960326161726903</v>
      </c>
      <c r="K222" s="29" t="n">
        <v>13.5354986598363</v>
      </c>
      <c r="L222" s="19" t="n">
        <v>0.126871252648834</v>
      </c>
      <c r="M222" s="17" t="n">
        <v>8</v>
      </c>
      <c r="N222" s="17" t="n">
        <v>12929</v>
      </c>
      <c r="O222" s="17" t="n">
        <v>8</v>
      </c>
      <c r="P222" s="17" t="n">
        <v>640</v>
      </c>
      <c r="Q222" s="17" t="n">
        <v>299</v>
      </c>
      <c r="R222" s="27" t="str">
        <f aca="false">IF(G222=_xlfn.MINIFS($G$2:$G$361,$A$2:$A$361,$A222),"BEST","")</f>
        <v/>
      </c>
    </row>
    <row r="223" customFormat="false" ht="15" hidden="false" customHeight="false" outlineLevel="0" collapsed="false">
      <c r="A223" s="16" t="s">
        <v>50</v>
      </c>
      <c r="B223" s="16" t="s">
        <v>115</v>
      </c>
      <c r="C223" s="16" t="s">
        <v>68</v>
      </c>
      <c r="D223" s="16" t="s">
        <v>107</v>
      </c>
      <c r="E223" s="17" t="s">
        <v>108</v>
      </c>
      <c r="F223" s="17" t="n">
        <v>1</v>
      </c>
      <c r="G223" s="19" t="n">
        <v>0.200197118622495</v>
      </c>
      <c r="H223" s="19" t="n">
        <v>0.0429500140344824</v>
      </c>
      <c r="I223" s="19" t="n">
        <v>0.0352135911541717</v>
      </c>
      <c r="J223" s="18" t="n">
        <v>0.959921113695251</v>
      </c>
      <c r="K223" s="29" t="n">
        <v>14.3343086671602</v>
      </c>
      <c r="L223" s="19" t="n">
        <v>0.1220883673358</v>
      </c>
      <c r="M223" s="17" t="n">
        <v>8</v>
      </c>
      <c r="N223" s="17" t="n">
        <v>12929</v>
      </c>
      <c r="O223" s="17" t="n">
        <v>8</v>
      </c>
      <c r="P223" s="17" t="n">
        <v>640</v>
      </c>
      <c r="Q223" s="17" t="n">
        <v>299</v>
      </c>
      <c r="R223" s="27" t="str">
        <f aca="false">IF(G223=_xlfn.MINIFS($G$2:$G$361,$A$2:$A$361,$A223),"BEST","")</f>
        <v/>
      </c>
    </row>
    <row r="224" customFormat="false" ht="15" hidden="false" customHeight="false" outlineLevel="0" collapsed="false">
      <c r="A224" s="16" t="s">
        <v>50</v>
      </c>
      <c r="B224" s="16" t="s">
        <v>117</v>
      </c>
      <c r="C224" s="16" t="s">
        <v>68</v>
      </c>
      <c r="D224" s="16" t="s">
        <v>107</v>
      </c>
      <c r="E224" s="17" t="s">
        <v>108</v>
      </c>
      <c r="F224" s="17" t="n">
        <v>1</v>
      </c>
      <c r="G224" s="19" t="n">
        <v>0.201195698754345</v>
      </c>
      <c r="H224" s="19" t="n">
        <v>0.0431642480403094</v>
      </c>
      <c r="I224" s="19" t="n">
        <v>0.0356345989065897</v>
      </c>
      <c r="J224" s="18" t="n">
        <v>0.959520290802751</v>
      </c>
      <c r="K224" s="29" t="n">
        <v>13.9772044250186</v>
      </c>
      <c r="L224" s="19" t="n">
        <v>0.119914659938066</v>
      </c>
      <c r="M224" s="17" t="n">
        <v>8</v>
      </c>
      <c r="N224" s="17" t="n">
        <v>17217</v>
      </c>
      <c r="O224" s="17" t="n">
        <v>8</v>
      </c>
      <c r="P224" s="17" t="n">
        <v>640</v>
      </c>
      <c r="Q224" s="17" t="n">
        <v>299</v>
      </c>
      <c r="R224" s="27" t="str">
        <f aca="false">IF(G224=_xlfn.MINIFS($G$2:$G$361,$A$2:$A$361,$A224),"BEST","")</f>
        <v/>
      </c>
    </row>
    <row r="225" customFormat="false" ht="15" hidden="false" customHeight="false" outlineLevel="0" collapsed="false">
      <c r="A225" s="16" t="s">
        <v>50</v>
      </c>
      <c r="B225" s="16" t="s">
        <v>115</v>
      </c>
      <c r="C225" s="16" t="s">
        <v>68</v>
      </c>
      <c r="D225" s="16" t="s">
        <v>107</v>
      </c>
      <c r="E225" s="17" t="s">
        <v>108</v>
      </c>
      <c r="F225" s="17" t="n">
        <v>4</v>
      </c>
      <c r="G225" s="19" t="n">
        <v>0.206621387308368</v>
      </c>
      <c r="H225" s="19" t="n">
        <v>0.044328267788173</v>
      </c>
      <c r="I225" s="19" t="n">
        <v>0.0360051582260911</v>
      </c>
      <c r="J225" s="18" t="n">
        <v>0.957307602306766</v>
      </c>
      <c r="K225" s="29" t="n">
        <v>14.210161005714</v>
      </c>
      <c r="L225" s="19" t="n">
        <v>0.12547327735111</v>
      </c>
      <c r="M225" s="17" t="n">
        <v>8</v>
      </c>
      <c r="N225" s="17" t="n">
        <v>12929</v>
      </c>
      <c r="O225" s="17" t="n">
        <v>8</v>
      </c>
      <c r="P225" s="17" t="n">
        <v>640</v>
      </c>
      <c r="Q225" s="17" t="n">
        <v>299</v>
      </c>
      <c r="R225" s="27" t="str">
        <f aca="false">IF(G225=_xlfn.MINIFS($G$2:$G$361,$A$2:$A$361,$A225),"BEST","")</f>
        <v/>
      </c>
    </row>
    <row r="226" customFormat="false" ht="15" hidden="false" customHeight="false" outlineLevel="0" collapsed="false">
      <c r="A226" s="16" t="s">
        <v>50</v>
      </c>
      <c r="B226" s="16" t="s">
        <v>115</v>
      </c>
      <c r="C226" s="16" t="s">
        <v>68</v>
      </c>
      <c r="D226" s="16" t="s">
        <v>107</v>
      </c>
      <c r="E226" s="17" t="s">
        <v>108</v>
      </c>
      <c r="F226" s="17" t="n">
        <v>3</v>
      </c>
      <c r="G226" s="19" t="n">
        <v>0.212697167029394</v>
      </c>
      <c r="H226" s="19" t="n">
        <v>0.0456317571994297</v>
      </c>
      <c r="I226" s="19" t="n">
        <v>0.0374506243933245</v>
      </c>
      <c r="J226" s="18" t="n">
        <v>0.95475991513767</v>
      </c>
      <c r="K226" s="29" t="n">
        <v>14.4512678707181</v>
      </c>
      <c r="L226" s="19" t="n">
        <v>0.133000286003797</v>
      </c>
      <c r="M226" s="17" t="n">
        <v>8</v>
      </c>
      <c r="N226" s="17" t="n">
        <v>12929</v>
      </c>
      <c r="O226" s="17" t="n">
        <v>8</v>
      </c>
      <c r="P226" s="17" t="n">
        <v>640</v>
      </c>
      <c r="Q226" s="17" t="n">
        <v>299</v>
      </c>
      <c r="R226" s="27" t="str">
        <f aca="false">IF(G226=_xlfn.MINIFS($G$2:$G$361,$A$2:$A$361,$A226),"BEST","")</f>
        <v/>
      </c>
    </row>
    <row r="227" customFormat="false" ht="15" hidden="false" customHeight="false" outlineLevel="0" collapsed="false">
      <c r="A227" s="22" t="s">
        <v>50</v>
      </c>
      <c r="B227" s="22" t="s">
        <v>113</v>
      </c>
      <c r="C227" s="22" t="s">
        <v>72</v>
      </c>
      <c r="D227" s="22" t="s">
        <v>93</v>
      </c>
      <c r="E227" s="23" t="s">
        <v>114</v>
      </c>
      <c r="F227" s="23" t="n">
        <v>0</v>
      </c>
      <c r="G227" s="25" t="n">
        <v>0.283335403443933</v>
      </c>
      <c r="H227" s="25" t="n">
        <v>0.0607863871274281</v>
      </c>
      <c r="I227" s="25" t="n">
        <v>0.0488149405851801</v>
      </c>
      <c r="J227" s="24" t="n">
        <v>0.919721049155264</v>
      </c>
      <c r="K227" s="30" t="n">
        <v>15.0154429176134</v>
      </c>
      <c r="L227" s="25" t="n">
        <v>0.242568533746357</v>
      </c>
      <c r="M227" s="23" t="n">
        <v>11</v>
      </c>
      <c r="N227" s="23" t="n">
        <v>12</v>
      </c>
      <c r="O227" s="23" t="n">
        <v>3</v>
      </c>
      <c r="P227" s="23" t="n">
        <v>799</v>
      </c>
      <c r="Q227" s="23" t="n">
        <v>299</v>
      </c>
      <c r="R227" s="27" t="str">
        <f aca="false">IF(G227=_xlfn.MINIFS($G$2:$G$361,$A$2:$A$361,$A227),"BEST","")</f>
        <v/>
      </c>
    </row>
    <row r="228" customFormat="false" ht="15" hidden="false" customHeight="false" outlineLevel="0" collapsed="false">
      <c r="A228" s="22" t="s">
        <v>50</v>
      </c>
      <c r="B228" s="22" t="s">
        <v>113</v>
      </c>
      <c r="C228" s="22" t="s">
        <v>72</v>
      </c>
      <c r="D228" s="22" t="s">
        <v>93</v>
      </c>
      <c r="E228" s="23" t="s">
        <v>114</v>
      </c>
      <c r="F228" s="23" t="n">
        <v>1</v>
      </c>
      <c r="G228" s="25" t="n">
        <v>0.283335403443933</v>
      </c>
      <c r="H228" s="25" t="n">
        <v>0.0607863871274281</v>
      </c>
      <c r="I228" s="25" t="n">
        <v>0.0488149405851801</v>
      </c>
      <c r="J228" s="24" t="n">
        <v>0.919721049155264</v>
      </c>
      <c r="K228" s="30" t="n">
        <v>15.0154429176134</v>
      </c>
      <c r="L228" s="25" t="n">
        <v>0.242568533746357</v>
      </c>
      <c r="M228" s="23" t="n">
        <v>11</v>
      </c>
      <c r="N228" s="23" t="n">
        <v>12</v>
      </c>
      <c r="O228" s="23" t="n">
        <v>3</v>
      </c>
      <c r="P228" s="23" t="n">
        <v>799</v>
      </c>
      <c r="Q228" s="23" t="n">
        <v>299</v>
      </c>
      <c r="R228" s="27" t="str">
        <f aca="false">IF(G228=_xlfn.MINIFS($G$2:$G$361,$A$2:$A$361,$A228),"BEST","")</f>
        <v/>
      </c>
    </row>
    <row r="229" customFormat="false" ht="15" hidden="false" customHeight="false" outlineLevel="0" collapsed="false">
      <c r="A229" s="22" t="s">
        <v>50</v>
      </c>
      <c r="B229" s="22" t="s">
        <v>113</v>
      </c>
      <c r="C229" s="22" t="s">
        <v>72</v>
      </c>
      <c r="D229" s="22" t="s">
        <v>93</v>
      </c>
      <c r="E229" s="23" t="s">
        <v>114</v>
      </c>
      <c r="F229" s="23" t="n">
        <v>2</v>
      </c>
      <c r="G229" s="25" t="n">
        <v>0.283335403443933</v>
      </c>
      <c r="H229" s="25" t="n">
        <v>0.0607863871274281</v>
      </c>
      <c r="I229" s="25" t="n">
        <v>0.0488149405851801</v>
      </c>
      <c r="J229" s="24" t="n">
        <v>0.919721049155264</v>
      </c>
      <c r="K229" s="30" t="n">
        <v>15.0154429176134</v>
      </c>
      <c r="L229" s="25" t="n">
        <v>0.242568533746357</v>
      </c>
      <c r="M229" s="23" t="n">
        <v>11</v>
      </c>
      <c r="N229" s="23" t="n">
        <v>12</v>
      </c>
      <c r="O229" s="23" t="n">
        <v>3</v>
      </c>
      <c r="P229" s="23" t="n">
        <v>799</v>
      </c>
      <c r="Q229" s="23" t="n">
        <v>299</v>
      </c>
      <c r="R229" s="27" t="str">
        <f aca="false">IF(G229=_xlfn.MINIFS($G$2:$G$361,$A$2:$A$361,$A229),"BEST","")</f>
        <v/>
      </c>
    </row>
    <row r="230" customFormat="false" ht="15" hidden="false" customHeight="false" outlineLevel="0" collapsed="false">
      <c r="A230" s="22" t="s">
        <v>50</v>
      </c>
      <c r="B230" s="22" t="s">
        <v>113</v>
      </c>
      <c r="C230" s="22" t="s">
        <v>72</v>
      </c>
      <c r="D230" s="22" t="s">
        <v>93</v>
      </c>
      <c r="E230" s="23" t="s">
        <v>114</v>
      </c>
      <c r="F230" s="23" t="n">
        <v>3</v>
      </c>
      <c r="G230" s="25" t="n">
        <v>0.283335403443933</v>
      </c>
      <c r="H230" s="25" t="n">
        <v>0.0607863871274281</v>
      </c>
      <c r="I230" s="25" t="n">
        <v>0.0488149405851801</v>
      </c>
      <c r="J230" s="24" t="n">
        <v>0.919721049155264</v>
      </c>
      <c r="K230" s="30" t="n">
        <v>15.0154429176134</v>
      </c>
      <c r="L230" s="25" t="n">
        <v>0.242568533746357</v>
      </c>
      <c r="M230" s="23" t="n">
        <v>11</v>
      </c>
      <c r="N230" s="23" t="n">
        <v>12</v>
      </c>
      <c r="O230" s="23" t="n">
        <v>3</v>
      </c>
      <c r="P230" s="23" t="n">
        <v>799</v>
      </c>
      <c r="Q230" s="23" t="n">
        <v>299</v>
      </c>
      <c r="R230" s="27" t="str">
        <f aca="false">IF(G230=_xlfn.MINIFS($G$2:$G$361,$A$2:$A$361,$A230),"BEST","")</f>
        <v/>
      </c>
    </row>
    <row r="231" customFormat="false" ht="15" hidden="false" customHeight="false" outlineLevel="0" collapsed="false">
      <c r="A231" s="22" t="s">
        <v>50</v>
      </c>
      <c r="B231" s="22" t="s">
        <v>113</v>
      </c>
      <c r="C231" s="22" t="s">
        <v>72</v>
      </c>
      <c r="D231" s="22" t="s">
        <v>93</v>
      </c>
      <c r="E231" s="23" t="s">
        <v>114</v>
      </c>
      <c r="F231" s="23" t="n">
        <v>4</v>
      </c>
      <c r="G231" s="25" t="n">
        <v>0.283335403443933</v>
      </c>
      <c r="H231" s="25" t="n">
        <v>0.0607863871274281</v>
      </c>
      <c r="I231" s="25" t="n">
        <v>0.0488149405851801</v>
      </c>
      <c r="J231" s="24" t="n">
        <v>0.919721049155264</v>
      </c>
      <c r="K231" s="30" t="n">
        <v>15.0154429176134</v>
      </c>
      <c r="L231" s="25" t="n">
        <v>0.242568533746357</v>
      </c>
      <c r="M231" s="23" t="n">
        <v>11</v>
      </c>
      <c r="N231" s="23" t="n">
        <v>12</v>
      </c>
      <c r="O231" s="23" t="n">
        <v>3</v>
      </c>
      <c r="P231" s="23" t="n">
        <v>799</v>
      </c>
      <c r="Q231" s="23" t="n">
        <v>299</v>
      </c>
      <c r="R231" s="27" t="str">
        <f aca="false">IF(G231=_xlfn.MINIFS($G$2:$G$361,$A$2:$A$361,$A231),"BEST","")</f>
        <v/>
      </c>
    </row>
    <row r="232" customFormat="false" ht="15" hidden="false" customHeight="false" outlineLevel="0" collapsed="false">
      <c r="A232" s="16" t="s">
        <v>50</v>
      </c>
      <c r="B232" s="16" t="s">
        <v>124</v>
      </c>
      <c r="C232" s="16" t="s">
        <v>68</v>
      </c>
      <c r="D232" s="16" t="s">
        <v>121</v>
      </c>
      <c r="E232" s="17" t="s">
        <v>125</v>
      </c>
      <c r="F232" s="17" t="n">
        <v>0</v>
      </c>
      <c r="G232" s="19" t="n">
        <v>0.287352239146159</v>
      </c>
      <c r="H232" s="19" t="n">
        <v>0.0616481535253259</v>
      </c>
      <c r="I232" s="19" t="n">
        <v>0.0508288278014418</v>
      </c>
      <c r="J232" s="18" t="n">
        <v>0.917428690657689</v>
      </c>
      <c r="K232" s="29" t="n">
        <v>17.8150750587529</v>
      </c>
      <c r="L232" s="19" t="n">
        <v>0.160058349271767</v>
      </c>
      <c r="M232" s="17" t="n">
        <v>2</v>
      </c>
      <c r="N232" s="17" t="n">
        <v>4</v>
      </c>
      <c r="O232" s="17" t="n">
        <v>1</v>
      </c>
      <c r="P232" s="17" t="n">
        <v>800</v>
      </c>
      <c r="Q232" s="17" t="n">
        <v>299</v>
      </c>
      <c r="R232" s="27" t="str">
        <f aca="false">IF(G232=_xlfn.MINIFS($G$2:$G$361,$A$2:$A$361,$A232),"BEST","")</f>
        <v/>
      </c>
    </row>
    <row r="233" customFormat="false" ht="15" hidden="false" customHeight="false" outlineLevel="0" collapsed="false">
      <c r="A233" s="16" t="s">
        <v>50</v>
      </c>
      <c r="B233" s="16" t="s">
        <v>124</v>
      </c>
      <c r="C233" s="16" t="s">
        <v>68</v>
      </c>
      <c r="D233" s="16" t="s">
        <v>121</v>
      </c>
      <c r="E233" s="17" t="s">
        <v>125</v>
      </c>
      <c r="F233" s="17" t="n">
        <v>1</v>
      </c>
      <c r="G233" s="19" t="n">
        <v>0.287352239146159</v>
      </c>
      <c r="H233" s="19" t="n">
        <v>0.0616481535253259</v>
      </c>
      <c r="I233" s="19" t="n">
        <v>0.0508288278014418</v>
      </c>
      <c r="J233" s="18" t="n">
        <v>0.917428690657689</v>
      </c>
      <c r="K233" s="29" t="n">
        <v>17.8150750587529</v>
      </c>
      <c r="L233" s="19" t="n">
        <v>0.160058349271767</v>
      </c>
      <c r="M233" s="17" t="n">
        <v>2</v>
      </c>
      <c r="N233" s="17" t="n">
        <v>4</v>
      </c>
      <c r="O233" s="17" t="n">
        <v>1</v>
      </c>
      <c r="P233" s="17" t="n">
        <v>800</v>
      </c>
      <c r="Q233" s="17" t="n">
        <v>299</v>
      </c>
      <c r="R233" s="27" t="str">
        <f aca="false">IF(G233=_xlfn.MINIFS($G$2:$G$361,$A$2:$A$361,$A233),"BEST","")</f>
        <v/>
      </c>
    </row>
    <row r="234" customFormat="false" ht="15" hidden="false" customHeight="false" outlineLevel="0" collapsed="false">
      <c r="A234" s="16" t="s">
        <v>50</v>
      </c>
      <c r="B234" s="16" t="s">
        <v>124</v>
      </c>
      <c r="C234" s="16" t="s">
        <v>68</v>
      </c>
      <c r="D234" s="16" t="s">
        <v>121</v>
      </c>
      <c r="E234" s="17" t="s">
        <v>125</v>
      </c>
      <c r="F234" s="17" t="n">
        <v>2</v>
      </c>
      <c r="G234" s="19" t="n">
        <v>0.287352239146159</v>
      </c>
      <c r="H234" s="19" t="n">
        <v>0.0616481535253259</v>
      </c>
      <c r="I234" s="19" t="n">
        <v>0.0508288278014418</v>
      </c>
      <c r="J234" s="18" t="n">
        <v>0.917428690657689</v>
      </c>
      <c r="K234" s="29" t="n">
        <v>17.8150750587529</v>
      </c>
      <c r="L234" s="19" t="n">
        <v>0.160058349271767</v>
      </c>
      <c r="M234" s="17" t="n">
        <v>2</v>
      </c>
      <c r="N234" s="17" t="n">
        <v>4</v>
      </c>
      <c r="O234" s="17" t="n">
        <v>1</v>
      </c>
      <c r="P234" s="17" t="n">
        <v>800</v>
      </c>
      <c r="Q234" s="17" t="n">
        <v>299</v>
      </c>
      <c r="R234" s="27" t="str">
        <f aca="false">IF(G234=_xlfn.MINIFS($G$2:$G$361,$A$2:$A$361,$A234),"BEST","")</f>
        <v/>
      </c>
    </row>
    <row r="235" customFormat="false" ht="15" hidden="false" customHeight="false" outlineLevel="0" collapsed="false">
      <c r="A235" s="16" t="s">
        <v>50</v>
      </c>
      <c r="B235" s="16" t="s">
        <v>124</v>
      </c>
      <c r="C235" s="16" t="s">
        <v>68</v>
      </c>
      <c r="D235" s="16" t="s">
        <v>121</v>
      </c>
      <c r="E235" s="17" t="s">
        <v>125</v>
      </c>
      <c r="F235" s="17" t="n">
        <v>3</v>
      </c>
      <c r="G235" s="19" t="n">
        <v>0.287352239146159</v>
      </c>
      <c r="H235" s="19" t="n">
        <v>0.0616481535253259</v>
      </c>
      <c r="I235" s="19" t="n">
        <v>0.0508288278014418</v>
      </c>
      <c r="J235" s="18" t="n">
        <v>0.917428690657689</v>
      </c>
      <c r="K235" s="29" t="n">
        <v>17.8150750587529</v>
      </c>
      <c r="L235" s="19" t="n">
        <v>0.160058349271767</v>
      </c>
      <c r="M235" s="17" t="n">
        <v>2</v>
      </c>
      <c r="N235" s="17" t="n">
        <v>4</v>
      </c>
      <c r="O235" s="17" t="n">
        <v>1</v>
      </c>
      <c r="P235" s="17" t="n">
        <v>800</v>
      </c>
      <c r="Q235" s="17" t="n">
        <v>299</v>
      </c>
      <c r="R235" s="27" t="str">
        <f aca="false">IF(G235=_xlfn.MINIFS($G$2:$G$361,$A$2:$A$361,$A235),"BEST","")</f>
        <v/>
      </c>
    </row>
    <row r="236" customFormat="false" ht="15" hidden="false" customHeight="false" outlineLevel="0" collapsed="false">
      <c r="A236" s="16" t="s">
        <v>50</v>
      </c>
      <c r="B236" s="16" t="s">
        <v>124</v>
      </c>
      <c r="C236" s="16" t="s">
        <v>68</v>
      </c>
      <c r="D236" s="16" t="s">
        <v>121</v>
      </c>
      <c r="E236" s="17" t="s">
        <v>125</v>
      </c>
      <c r="F236" s="17" t="n">
        <v>4</v>
      </c>
      <c r="G236" s="19" t="n">
        <v>0.287352239146159</v>
      </c>
      <c r="H236" s="19" t="n">
        <v>0.0616481535253259</v>
      </c>
      <c r="I236" s="19" t="n">
        <v>0.0508288278014418</v>
      </c>
      <c r="J236" s="18" t="n">
        <v>0.917428690657689</v>
      </c>
      <c r="K236" s="29" t="n">
        <v>17.8150750587529</v>
      </c>
      <c r="L236" s="19" t="n">
        <v>0.160058349271767</v>
      </c>
      <c r="M236" s="17" t="n">
        <v>2</v>
      </c>
      <c r="N236" s="17" t="n">
        <v>4</v>
      </c>
      <c r="O236" s="17" t="n">
        <v>1</v>
      </c>
      <c r="P236" s="17" t="n">
        <v>800</v>
      </c>
      <c r="Q236" s="17" t="n">
        <v>299</v>
      </c>
      <c r="R236" s="27" t="str">
        <f aca="false">IF(G236=_xlfn.MINIFS($G$2:$G$361,$A$2:$A$361,$A236),"BEST","")</f>
        <v/>
      </c>
    </row>
    <row r="237" customFormat="false" ht="15" hidden="false" customHeight="false" outlineLevel="0" collapsed="false">
      <c r="A237" s="16" t="s">
        <v>50</v>
      </c>
      <c r="B237" s="16" t="s">
        <v>126</v>
      </c>
      <c r="C237" s="16" t="s">
        <v>68</v>
      </c>
      <c r="D237" s="16" t="s">
        <v>121</v>
      </c>
      <c r="E237" s="16" t="s">
        <v>127</v>
      </c>
      <c r="F237" s="17" t="n">
        <v>0</v>
      </c>
      <c r="G237" s="19" t="n">
        <v>0.287366695957428</v>
      </c>
      <c r="H237" s="19" t="n">
        <v>0.0616512550696995</v>
      </c>
      <c r="I237" s="19" t="n">
        <v>0.0508286798196609</v>
      </c>
      <c r="J237" s="18" t="n">
        <v>0.917420382054511</v>
      </c>
      <c r="K237" s="29" t="n">
        <v>17.828431288215</v>
      </c>
      <c r="L237" s="19" t="n">
        <v>0.160428388555821</v>
      </c>
      <c r="M237" s="17" t="n">
        <v>1</v>
      </c>
      <c r="N237" s="17" t="n">
        <v>0</v>
      </c>
      <c r="O237" s="17" t="n">
        <v>1</v>
      </c>
      <c r="P237" s="17" t="n">
        <v>0</v>
      </c>
      <c r="Q237" s="17" t="n">
        <v>299</v>
      </c>
      <c r="R237" s="27" t="str">
        <f aca="false">IF(G237=_xlfn.MINIFS($G$2:$G$361,$A$2:$A$361,$A237),"BEST","")</f>
        <v/>
      </c>
    </row>
    <row r="238" customFormat="false" ht="15" hidden="false" customHeight="false" outlineLevel="0" collapsed="false">
      <c r="A238" s="16" t="s">
        <v>50</v>
      </c>
      <c r="B238" s="16" t="s">
        <v>126</v>
      </c>
      <c r="C238" s="16" t="s">
        <v>68</v>
      </c>
      <c r="D238" s="16" t="s">
        <v>121</v>
      </c>
      <c r="E238" s="16" t="s">
        <v>127</v>
      </c>
      <c r="F238" s="17" t="n">
        <v>1</v>
      </c>
      <c r="G238" s="19" t="n">
        <v>0.287366695957428</v>
      </c>
      <c r="H238" s="19" t="n">
        <v>0.0616512550696995</v>
      </c>
      <c r="I238" s="19" t="n">
        <v>0.0508286798196609</v>
      </c>
      <c r="J238" s="18" t="n">
        <v>0.917420382054511</v>
      </c>
      <c r="K238" s="29" t="n">
        <v>17.828431288215</v>
      </c>
      <c r="L238" s="19" t="n">
        <v>0.160428388555821</v>
      </c>
      <c r="M238" s="17" t="n">
        <v>1</v>
      </c>
      <c r="N238" s="17" t="n">
        <v>0</v>
      </c>
      <c r="O238" s="17" t="n">
        <v>1</v>
      </c>
      <c r="P238" s="17" t="n">
        <v>0</v>
      </c>
      <c r="Q238" s="17" t="n">
        <v>299</v>
      </c>
      <c r="R238" s="27" t="str">
        <f aca="false">IF(G238=_xlfn.MINIFS($G$2:$G$361,$A$2:$A$361,$A238),"BEST","")</f>
        <v/>
      </c>
    </row>
    <row r="239" customFormat="false" ht="15" hidden="false" customHeight="false" outlineLevel="0" collapsed="false">
      <c r="A239" s="16" t="s">
        <v>50</v>
      </c>
      <c r="B239" s="16" t="s">
        <v>126</v>
      </c>
      <c r="C239" s="16" t="s">
        <v>68</v>
      </c>
      <c r="D239" s="16" t="s">
        <v>121</v>
      </c>
      <c r="E239" s="16" t="s">
        <v>127</v>
      </c>
      <c r="F239" s="17" t="n">
        <v>2</v>
      </c>
      <c r="G239" s="19" t="n">
        <v>0.287366695957428</v>
      </c>
      <c r="H239" s="19" t="n">
        <v>0.0616512550696995</v>
      </c>
      <c r="I239" s="19" t="n">
        <v>0.0508286798196609</v>
      </c>
      <c r="J239" s="18" t="n">
        <v>0.917420382054511</v>
      </c>
      <c r="K239" s="29" t="n">
        <v>17.828431288215</v>
      </c>
      <c r="L239" s="19" t="n">
        <v>0.160428388555821</v>
      </c>
      <c r="M239" s="17" t="n">
        <v>1</v>
      </c>
      <c r="N239" s="17" t="n">
        <v>0</v>
      </c>
      <c r="O239" s="17" t="n">
        <v>1</v>
      </c>
      <c r="P239" s="17" t="n">
        <v>0</v>
      </c>
      <c r="Q239" s="17" t="n">
        <v>299</v>
      </c>
      <c r="R239" s="27" t="str">
        <f aca="false">IF(G239=_xlfn.MINIFS($G$2:$G$361,$A$2:$A$361,$A239),"BEST","")</f>
        <v/>
      </c>
    </row>
    <row r="240" customFormat="false" ht="15" hidden="false" customHeight="false" outlineLevel="0" collapsed="false">
      <c r="A240" s="16" t="s">
        <v>50</v>
      </c>
      <c r="B240" s="16" t="s">
        <v>126</v>
      </c>
      <c r="C240" s="16" t="s">
        <v>68</v>
      </c>
      <c r="D240" s="16" t="s">
        <v>121</v>
      </c>
      <c r="E240" s="16" t="s">
        <v>127</v>
      </c>
      <c r="F240" s="17" t="n">
        <v>3</v>
      </c>
      <c r="G240" s="19" t="n">
        <v>0.287366695957428</v>
      </c>
      <c r="H240" s="19" t="n">
        <v>0.0616512550696995</v>
      </c>
      <c r="I240" s="19" t="n">
        <v>0.0508286798196609</v>
      </c>
      <c r="J240" s="18" t="n">
        <v>0.917420382054511</v>
      </c>
      <c r="K240" s="29" t="n">
        <v>17.828431288215</v>
      </c>
      <c r="L240" s="19" t="n">
        <v>0.160428388555821</v>
      </c>
      <c r="M240" s="17" t="n">
        <v>1</v>
      </c>
      <c r="N240" s="17" t="n">
        <v>0</v>
      </c>
      <c r="O240" s="17" t="n">
        <v>1</v>
      </c>
      <c r="P240" s="17" t="n">
        <v>0</v>
      </c>
      <c r="Q240" s="17" t="n">
        <v>299</v>
      </c>
      <c r="R240" s="27" t="str">
        <f aca="false">IF(G240=_xlfn.MINIFS($G$2:$G$361,$A$2:$A$361,$A240),"BEST","")</f>
        <v/>
      </c>
    </row>
    <row r="241" customFormat="false" ht="15" hidden="false" customHeight="false" outlineLevel="0" collapsed="false">
      <c r="A241" s="16" t="s">
        <v>50</v>
      </c>
      <c r="B241" s="16" t="s">
        <v>126</v>
      </c>
      <c r="C241" s="16" t="s">
        <v>68</v>
      </c>
      <c r="D241" s="16" t="s">
        <v>121</v>
      </c>
      <c r="E241" s="16" t="s">
        <v>127</v>
      </c>
      <c r="F241" s="17" t="n">
        <v>4</v>
      </c>
      <c r="G241" s="19" t="n">
        <v>0.287366695957428</v>
      </c>
      <c r="H241" s="19" t="n">
        <v>0.0616512550696995</v>
      </c>
      <c r="I241" s="19" t="n">
        <v>0.0508286798196609</v>
      </c>
      <c r="J241" s="18" t="n">
        <v>0.917420382054511</v>
      </c>
      <c r="K241" s="29" t="n">
        <v>17.828431288215</v>
      </c>
      <c r="L241" s="19" t="n">
        <v>0.160428388555821</v>
      </c>
      <c r="M241" s="17" t="n">
        <v>1</v>
      </c>
      <c r="N241" s="17" t="n">
        <v>0</v>
      </c>
      <c r="O241" s="17" t="n">
        <v>1</v>
      </c>
      <c r="P241" s="17" t="n">
        <v>0</v>
      </c>
      <c r="Q241" s="17" t="n">
        <v>299</v>
      </c>
      <c r="R241" s="27" t="str">
        <f aca="false">IF(G241=_xlfn.MINIFS($G$2:$G$361,$A$2:$A$361,$A241),"BEST","")</f>
        <v/>
      </c>
    </row>
    <row r="242" customFormat="false" ht="15" hidden="false" customHeight="false" outlineLevel="0" collapsed="false">
      <c r="A242" s="16" t="s">
        <v>51</v>
      </c>
      <c r="B242" s="16" t="s">
        <v>118</v>
      </c>
      <c r="C242" s="16" t="s">
        <v>68</v>
      </c>
      <c r="D242" s="16" t="s">
        <v>89</v>
      </c>
      <c r="E242" s="17" t="s">
        <v>119</v>
      </c>
      <c r="F242" s="17" t="n">
        <v>0</v>
      </c>
      <c r="G242" s="19" t="n">
        <v>0.00436798905086778</v>
      </c>
      <c r="H242" s="19" t="n">
        <v>0.00101518760610282</v>
      </c>
      <c r="I242" s="19" t="n">
        <v>0.000803680906501865</v>
      </c>
      <c r="J242" s="18" t="n">
        <v>0.999980920671652</v>
      </c>
      <c r="K242" s="29" t="n">
        <v>0.22182030363478</v>
      </c>
      <c r="L242" s="19" t="n">
        <v>0.00332399817268711</v>
      </c>
      <c r="M242" s="17" t="n">
        <v>4</v>
      </c>
      <c r="N242" s="17" t="n">
        <v>5</v>
      </c>
      <c r="O242" s="17" t="n">
        <v>4</v>
      </c>
      <c r="P242" s="17" t="n">
        <v>799</v>
      </c>
      <c r="Q242" s="17" t="n">
        <v>299</v>
      </c>
      <c r="R242" s="27" t="str">
        <f aca="false">IF(G242=_xlfn.MINIFS($G$2:$G$361,$A$2:$A$361,$A242),"BEST","")</f>
        <v>BEST</v>
      </c>
    </row>
    <row r="243" customFormat="false" ht="15" hidden="false" customHeight="false" outlineLevel="0" collapsed="false">
      <c r="A243" s="16" t="s">
        <v>51</v>
      </c>
      <c r="B243" s="16" t="s">
        <v>118</v>
      </c>
      <c r="C243" s="16" t="s">
        <v>68</v>
      </c>
      <c r="D243" s="16" t="s">
        <v>89</v>
      </c>
      <c r="E243" s="17" t="s">
        <v>119</v>
      </c>
      <c r="F243" s="17" t="n">
        <v>1</v>
      </c>
      <c r="G243" s="19" t="n">
        <v>0.00436798905086778</v>
      </c>
      <c r="H243" s="19" t="n">
        <v>0.00101518760610282</v>
      </c>
      <c r="I243" s="19" t="n">
        <v>0.000803680906501865</v>
      </c>
      <c r="J243" s="18" t="n">
        <v>0.999980920671652</v>
      </c>
      <c r="K243" s="29" t="n">
        <v>0.22182030363478</v>
      </c>
      <c r="L243" s="19" t="n">
        <v>0.00332399817268711</v>
      </c>
      <c r="M243" s="17" t="n">
        <v>4</v>
      </c>
      <c r="N243" s="17" t="n">
        <v>5</v>
      </c>
      <c r="O243" s="17" t="n">
        <v>4</v>
      </c>
      <c r="P243" s="17" t="n">
        <v>799</v>
      </c>
      <c r="Q243" s="17" t="n">
        <v>299</v>
      </c>
      <c r="R243" s="27" t="str">
        <f aca="false">IF(G243=_xlfn.MINIFS($G$2:$G$361,$A$2:$A$361,$A243),"BEST","")</f>
        <v>BEST</v>
      </c>
    </row>
    <row r="244" customFormat="false" ht="15" hidden="false" customHeight="false" outlineLevel="0" collapsed="false">
      <c r="A244" s="16" t="s">
        <v>51</v>
      </c>
      <c r="B244" s="16" t="s">
        <v>118</v>
      </c>
      <c r="C244" s="16" t="s">
        <v>68</v>
      </c>
      <c r="D244" s="16" t="s">
        <v>89</v>
      </c>
      <c r="E244" s="17" t="s">
        <v>119</v>
      </c>
      <c r="F244" s="17" t="n">
        <v>2</v>
      </c>
      <c r="G244" s="19" t="n">
        <v>0.00436798905086778</v>
      </c>
      <c r="H244" s="19" t="n">
        <v>0.00101518760610282</v>
      </c>
      <c r="I244" s="19" t="n">
        <v>0.000803680906501865</v>
      </c>
      <c r="J244" s="18" t="n">
        <v>0.999980920671652</v>
      </c>
      <c r="K244" s="29" t="n">
        <v>0.22182030363478</v>
      </c>
      <c r="L244" s="19" t="n">
        <v>0.00332399817268711</v>
      </c>
      <c r="M244" s="17" t="n">
        <v>4</v>
      </c>
      <c r="N244" s="17" t="n">
        <v>5</v>
      </c>
      <c r="O244" s="17" t="n">
        <v>4</v>
      </c>
      <c r="P244" s="17" t="n">
        <v>799</v>
      </c>
      <c r="Q244" s="17" t="n">
        <v>299</v>
      </c>
      <c r="R244" s="27" t="str">
        <f aca="false">IF(G244=_xlfn.MINIFS($G$2:$G$361,$A$2:$A$361,$A244),"BEST","")</f>
        <v>BEST</v>
      </c>
    </row>
    <row r="245" customFormat="false" ht="15" hidden="false" customHeight="false" outlineLevel="0" collapsed="false">
      <c r="A245" s="16" t="s">
        <v>51</v>
      </c>
      <c r="B245" s="16" t="s">
        <v>118</v>
      </c>
      <c r="C245" s="16" t="s">
        <v>68</v>
      </c>
      <c r="D245" s="16" t="s">
        <v>89</v>
      </c>
      <c r="E245" s="17" t="s">
        <v>119</v>
      </c>
      <c r="F245" s="17" t="n">
        <v>3</v>
      </c>
      <c r="G245" s="19" t="n">
        <v>0.00436798905086778</v>
      </c>
      <c r="H245" s="19" t="n">
        <v>0.00101518760610282</v>
      </c>
      <c r="I245" s="19" t="n">
        <v>0.000803680906501865</v>
      </c>
      <c r="J245" s="18" t="n">
        <v>0.999980920671652</v>
      </c>
      <c r="K245" s="29" t="n">
        <v>0.22182030363478</v>
      </c>
      <c r="L245" s="19" t="n">
        <v>0.00332399817268711</v>
      </c>
      <c r="M245" s="17" t="n">
        <v>4</v>
      </c>
      <c r="N245" s="17" t="n">
        <v>5</v>
      </c>
      <c r="O245" s="17" t="n">
        <v>4</v>
      </c>
      <c r="P245" s="17" t="n">
        <v>799</v>
      </c>
      <c r="Q245" s="17" t="n">
        <v>299</v>
      </c>
      <c r="R245" s="27" t="str">
        <f aca="false">IF(G245=_xlfn.MINIFS($G$2:$G$361,$A$2:$A$361,$A245),"BEST","")</f>
        <v>BEST</v>
      </c>
    </row>
    <row r="246" customFormat="false" ht="15" hidden="false" customHeight="false" outlineLevel="0" collapsed="false">
      <c r="A246" s="16" t="s">
        <v>51</v>
      </c>
      <c r="B246" s="16" t="s">
        <v>118</v>
      </c>
      <c r="C246" s="16" t="s">
        <v>68</v>
      </c>
      <c r="D246" s="16" t="s">
        <v>89</v>
      </c>
      <c r="E246" s="17" t="s">
        <v>119</v>
      </c>
      <c r="F246" s="17" t="n">
        <v>4</v>
      </c>
      <c r="G246" s="19" t="n">
        <v>0.00436798905086778</v>
      </c>
      <c r="H246" s="19" t="n">
        <v>0.00101518760610282</v>
      </c>
      <c r="I246" s="19" t="n">
        <v>0.000803680906501865</v>
      </c>
      <c r="J246" s="18" t="n">
        <v>0.999980920671652</v>
      </c>
      <c r="K246" s="29" t="n">
        <v>0.22182030363478</v>
      </c>
      <c r="L246" s="19" t="n">
        <v>0.00332399817268711</v>
      </c>
      <c r="M246" s="17" t="n">
        <v>4</v>
      </c>
      <c r="N246" s="17" t="n">
        <v>5</v>
      </c>
      <c r="O246" s="17" t="n">
        <v>4</v>
      </c>
      <c r="P246" s="17" t="n">
        <v>799</v>
      </c>
      <c r="Q246" s="17" t="n">
        <v>299</v>
      </c>
      <c r="R246" s="27" t="str">
        <f aca="false">IF(G246=_xlfn.MINIFS($G$2:$G$361,$A$2:$A$361,$A246),"BEST","")</f>
        <v>BEST</v>
      </c>
    </row>
    <row r="247" customFormat="false" ht="15" hidden="false" customHeight="false" outlineLevel="0" collapsed="false">
      <c r="A247" s="22" t="s">
        <v>51</v>
      </c>
      <c r="B247" s="22" t="s">
        <v>46</v>
      </c>
      <c r="C247" s="22" t="s">
        <v>72</v>
      </c>
      <c r="D247" s="22" t="s">
        <v>93</v>
      </c>
      <c r="E247" s="23" t="s">
        <v>94</v>
      </c>
      <c r="F247" s="23" t="n">
        <v>0</v>
      </c>
      <c r="G247" s="25" t="n">
        <v>0.0045200703889065</v>
      </c>
      <c r="H247" s="25" t="n">
        <v>0.00105053364010118</v>
      </c>
      <c r="I247" s="25" t="n">
        <v>0.000833476269938443</v>
      </c>
      <c r="J247" s="24" t="n">
        <v>0.999979568963679</v>
      </c>
      <c r="K247" s="30" t="n">
        <v>0.233039051708447</v>
      </c>
      <c r="L247" s="25" t="n">
        <v>0.00358460509919334</v>
      </c>
      <c r="M247" s="23" t="n">
        <v>96</v>
      </c>
      <c r="N247" s="23" t="n">
        <v>97</v>
      </c>
      <c r="O247" s="23" t="n">
        <v>5</v>
      </c>
      <c r="P247" s="23" t="n">
        <v>799</v>
      </c>
      <c r="Q247" s="23" t="n">
        <v>299</v>
      </c>
      <c r="R247" s="27" t="str">
        <f aca="false">IF(G247=_xlfn.MINIFS($G$2:$G$361,$A$2:$A$361,$A247),"BEST","")</f>
        <v/>
      </c>
    </row>
    <row r="248" customFormat="false" ht="15" hidden="false" customHeight="false" outlineLevel="0" collapsed="false">
      <c r="A248" s="22" t="s">
        <v>51</v>
      </c>
      <c r="B248" s="22" t="s">
        <v>46</v>
      </c>
      <c r="C248" s="22" t="s">
        <v>72</v>
      </c>
      <c r="D248" s="22" t="s">
        <v>93</v>
      </c>
      <c r="E248" s="23" t="s">
        <v>94</v>
      </c>
      <c r="F248" s="23" t="n">
        <v>2</v>
      </c>
      <c r="G248" s="25" t="n">
        <v>0.00458117261266899</v>
      </c>
      <c r="H248" s="25" t="n">
        <v>0.00106473473345252</v>
      </c>
      <c r="I248" s="25" t="n">
        <v>0.000859855646513075</v>
      </c>
      <c r="J248" s="24" t="n">
        <v>0.999979012857493</v>
      </c>
      <c r="K248" s="30" t="n">
        <v>0.242409842073002</v>
      </c>
      <c r="L248" s="25" t="n">
        <v>0.00333464714282805</v>
      </c>
      <c r="M248" s="23" t="n">
        <v>96</v>
      </c>
      <c r="N248" s="23" t="n">
        <v>97</v>
      </c>
      <c r="O248" s="23" t="n">
        <v>5</v>
      </c>
      <c r="P248" s="23" t="n">
        <v>799</v>
      </c>
      <c r="Q248" s="23" t="n">
        <v>299</v>
      </c>
      <c r="R248" s="27" t="str">
        <f aca="false">IF(G248=_xlfn.MINIFS($G$2:$G$361,$A$2:$A$361,$A248),"BEST","")</f>
        <v/>
      </c>
    </row>
    <row r="249" customFormat="false" ht="15" hidden="false" customHeight="false" outlineLevel="0" collapsed="false">
      <c r="A249" s="22" t="s">
        <v>51</v>
      </c>
      <c r="B249" s="22" t="s">
        <v>46</v>
      </c>
      <c r="C249" s="22" t="s">
        <v>72</v>
      </c>
      <c r="D249" s="22" t="s">
        <v>93</v>
      </c>
      <c r="E249" s="23" t="s">
        <v>94</v>
      </c>
      <c r="F249" s="23" t="n">
        <v>1</v>
      </c>
      <c r="G249" s="25" t="n">
        <v>0.00461966876089666</v>
      </c>
      <c r="H249" s="25" t="n">
        <v>0.00107368182835324</v>
      </c>
      <c r="I249" s="25" t="n">
        <v>0.00081399610426557</v>
      </c>
      <c r="J249" s="24" t="n">
        <v>0.99997865866054</v>
      </c>
      <c r="K249" s="30" t="n">
        <v>0.22217953545615</v>
      </c>
      <c r="L249" s="25" t="n">
        <v>0.00365183018225623</v>
      </c>
      <c r="M249" s="23" t="n">
        <v>96</v>
      </c>
      <c r="N249" s="23" t="n">
        <v>97</v>
      </c>
      <c r="O249" s="23" t="n">
        <v>5</v>
      </c>
      <c r="P249" s="23" t="n">
        <v>799</v>
      </c>
      <c r="Q249" s="23" t="n">
        <v>299</v>
      </c>
      <c r="R249" s="27" t="str">
        <f aca="false">IF(G249=_xlfn.MINIFS($G$2:$G$361,$A$2:$A$361,$A249),"BEST","")</f>
        <v/>
      </c>
    </row>
    <row r="250" customFormat="false" ht="15" hidden="false" customHeight="false" outlineLevel="0" collapsed="false">
      <c r="A250" s="22" t="s">
        <v>51</v>
      </c>
      <c r="B250" s="22" t="s">
        <v>46</v>
      </c>
      <c r="C250" s="22" t="s">
        <v>72</v>
      </c>
      <c r="D250" s="22" t="s">
        <v>93</v>
      </c>
      <c r="E250" s="23" t="s">
        <v>94</v>
      </c>
      <c r="F250" s="23" t="n">
        <v>4</v>
      </c>
      <c r="G250" s="25" t="n">
        <v>0.00462513855427682</v>
      </c>
      <c r="H250" s="25" t="n">
        <v>0.00107495309217346</v>
      </c>
      <c r="I250" s="25" t="n">
        <v>0.000875241098283896</v>
      </c>
      <c r="J250" s="24" t="n">
        <v>0.999978608093354</v>
      </c>
      <c r="K250" s="30" t="n">
        <v>0.248048969257632</v>
      </c>
      <c r="L250" s="25" t="n">
        <v>0.00363598990524439</v>
      </c>
      <c r="M250" s="23" t="n">
        <v>96</v>
      </c>
      <c r="N250" s="23" t="n">
        <v>97</v>
      </c>
      <c r="O250" s="23" t="n">
        <v>5</v>
      </c>
      <c r="P250" s="23" t="n">
        <v>799</v>
      </c>
      <c r="Q250" s="23" t="n">
        <v>299</v>
      </c>
      <c r="R250" s="27" t="str">
        <f aca="false">IF(G250=_xlfn.MINIFS($G$2:$G$361,$A$2:$A$361,$A250),"BEST","")</f>
        <v/>
      </c>
    </row>
    <row r="251" customFormat="false" ht="15" hidden="false" customHeight="false" outlineLevel="0" collapsed="false">
      <c r="A251" s="22" t="s">
        <v>51</v>
      </c>
      <c r="B251" s="22" t="s">
        <v>46</v>
      </c>
      <c r="C251" s="22" t="s">
        <v>72</v>
      </c>
      <c r="D251" s="22" t="s">
        <v>93</v>
      </c>
      <c r="E251" s="23" t="s">
        <v>94</v>
      </c>
      <c r="F251" s="23" t="n">
        <v>3</v>
      </c>
      <c r="G251" s="25" t="n">
        <v>0.0047450170383618</v>
      </c>
      <c r="H251" s="25" t="n">
        <v>0.0011028146893213</v>
      </c>
      <c r="I251" s="25" t="n">
        <v>0.000895323136442719</v>
      </c>
      <c r="J251" s="24" t="n">
        <v>0.999977484813306</v>
      </c>
      <c r="K251" s="30" t="n">
        <v>0.249869092920758</v>
      </c>
      <c r="L251" s="25" t="n">
        <v>0.00345449314635205</v>
      </c>
      <c r="M251" s="23" t="n">
        <v>96</v>
      </c>
      <c r="N251" s="23" t="n">
        <v>97</v>
      </c>
      <c r="O251" s="23" t="n">
        <v>5</v>
      </c>
      <c r="P251" s="23" t="n">
        <v>799</v>
      </c>
      <c r="Q251" s="23" t="n">
        <v>299</v>
      </c>
      <c r="R251" s="27" t="str">
        <f aca="false">IF(G251=_xlfn.MINIFS($G$2:$G$361,$A$2:$A$361,$A251),"BEST","")</f>
        <v/>
      </c>
    </row>
    <row r="252" customFormat="false" ht="15" hidden="false" customHeight="false" outlineLevel="0" collapsed="false">
      <c r="A252" s="16" t="s">
        <v>51</v>
      </c>
      <c r="B252" s="16" t="s">
        <v>95</v>
      </c>
      <c r="C252" s="16" t="s">
        <v>68</v>
      </c>
      <c r="D252" s="16" t="s">
        <v>89</v>
      </c>
      <c r="E252" s="17" t="s">
        <v>96</v>
      </c>
      <c r="F252" s="17" t="n">
        <v>0</v>
      </c>
      <c r="G252" s="19" t="n">
        <v>0.00661767951790421</v>
      </c>
      <c r="H252" s="19" t="n">
        <v>0.00153805015294215</v>
      </c>
      <c r="I252" s="19" t="n">
        <v>0.00123427829335309</v>
      </c>
      <c r="J252" s="18" t="n">
        <v>0.999956206317798</v>
      </c>
      <c r="K252" s="29" t="n">
        <v>0.28828356312208</v>
      </c>
      <c r="L252" s="19" t="n">
        <v>0.00529037353331385</v>
      </c>
      <c r="M252" s="17" t="n">
        <v>300</v>
      </c>
      <c r="N252" s="17" t="n">
        <v>301</v>
      </c>
      <c r="O252" s="17" t="n">
        <v>3</v>
      </c>
      <c r="P252" s="17" t="n">
        <v>799</v>
      </c>
      <c r="Q252" s="17" t="n">
        <v>299</v>
      </c>
      <c r="R252" s="27" t="str">
        <f aca="false">IF(G252=_xlfn.MINIFS($G$2:$G$361,$A$2:$A$361,$A252),"BEST","")</f>
        <v/>
      </c>
    </row>
    <row r="253" customFormat="false" ht="15" hidden="false" customHeight="false" outlineLevel="0" collapsed="false">
      <c r="A253" s="16" t="s">
        <v>51</v>
      </c>
      <c r="B253" s="16" t="s">
        <v>95</v>
      </c>
      <c r="C253" s="16" t="s">
        <v>68</v>
      </c>
      <c r="D253" s="16" t="s">
        <v>89</v>
      </c>
      <c r="E253" s="17" t="s">
        <v>96</v>
      </c>
      <c r="F253" s="17" t="n">
        <v>4</v>
      </c>
      <c r="G253" s="19" t="n">
        <v>0.00697334434486262</v>
      </c>
      <c r="H253" s="19" t="n">
        <v>0.00162071211020671</v>
      </c>
      <c r="I253" s="19" t="n">
        <v>0.00129131088767776</v>
      </c>
      <c r="J253" s="18" t="n">
        <v>0.999951372468648</v>
      </c>
      <c r="K253" s="29" t="n">
        <v>0.287726388785935</v>
      </c>
      <c r="L253" s="19" t="n">
        <v>0.00644803820106099</v>
      </c>
      <c r="M253" s="17" t="n">
        <v>300</v>
      </c>
      <c r="N253" s="17" t="n">
        <v>301</v>
      </c>
      <c r="O253" s="17" t="n">
        <v>3</v>
      </c>
      <c r="P253" s="17" t="n">
        <v>799</v>
      </c>
      <c r="Q253" s="17" t="n">
        <v>299</v>
      </c>
      <c r="R253" s="27" t="str">
        <f aca="false">IF(G253=_xlfn.MINIFS($G$2:$G$361,$A$2:$A$361,$A253),"BEST","")</f>
        <v/>
      </c>
    </row>
    <row r="254" customFormat="false" ht="15" hidden="false" customHeight="false" outlineLevel="0" collapsed="false">
      <c r="A254" s="16" t="s">
        <v>51</v>
      </c>
      <c r="B254" s="16" t="s">
        <v>95</v>
      </c>
      <c r="C254" s="16" t="s">
        <v>68</v>
      </c>
      <c r="D254" s="16" t="s">
        <v>89</v>
      </c>
      <c r="E254" s="17" t="s">
        <v>96</v>
      </c>
      <c r="F254" s="17" t="n">
        <v>2</v>
      </c>
      <c r="G254" s="19" t="n">
        <v>0.00740099062471406</v>
      </c>
      <c r="H254" s="19" t="n">
        <v>0.00172010366042474</v>
      </c>
      <c r="I254" s="19" t="n">
        <v>0.00136951305031907</v>
      </c>
      <c r="J254" s="18" t="n">
        <v>0.999945225337773</v>
      </c>
      <c r="K254" s="29" t="n">
        <v>0.310484475707053</v>
      </c>
      <c r="L254" s="19" t="n">
        <v>0.00651121500803309</v>
      </c>
      <c r="M254" s="17" t="n">
        <v>300</v>
      </c>
      <c r="N254" s="17" t="n">
        <v>301</v>
      </c>
      <c r="O254" s="17" t="n">
        <v>3</v>
      </c>
      <c r="P254" s="17" t="n">
        <v>799</v>
      </c>
      <c r="Q254" s="17" t="n">
        <v>299</v>
      </c>
      <c r="R254" s="27" t="str">
        <f aca="false">IF(G254=_xlfn.MINIFS($G$2:$G$361,$A$2:$A$361,$A254),"BEST","")</f>
        <v/>
      </c>
    </row>
    <row r="255" customFormat="false" ht="15" hidden="false" customHeight="false" outlineLevel="0" collapsed="false">
      <c r="A255" s="16" t="s">
        <v>51</v>
      </c>
      <c r="B255" s="16" t="s">
        <v>95</v>
      </c>
      <c r="C255" s="16" t="s">
        <v>68</v>
      </c>
      <c r="D255" s="16" t="s">
        <v>89</v>
      </c>
      <c r="E255" s="17" t="s">
        <v>96</v>
      </c>
      <c r="F255" s="17" t="n">
        <v>3</v>
      </c>
      <c r="G255" s="19" t="n">
        <v>0.00749506208325188</v>
      </c>
      <c r="H255" s="19" t="n">
        <v>0.0017419673092763</v>
      </c>
      <c r="I255" s="19" t="n">
        <v>0.00140983830664562</v>
      </c>
      <c r="J255" s="18" t="n">
        <v>0.999943824044368</v>
      </c>
      <c r="K255" s="29" t="n">
        <v>0.312524702938779</v>
      </c>
      <c r="L255" s="19" t="n">
        <v>0.00618251766894473</v>
      </c>
      <c r="M255" s="17" t="n">
        <v>300</v>
      </c>
      <c r="N255" s="17" t="n">
        <v>301</v>
      </c>
      <c r="O255" s="17" t="n">
        <v>3</v>
      </c>
      <c r="P255" s="17" t="n">
        <v>799</v>
      </c>
      <c r="Q255" s="17" t="n">
        <v>299</v>
      </c>
      <c r="R255" s="27" t="str">
        <f aca="false">IF(G255=_xlfn.MINIFS($G$2:$G$361,$A$2:$A$361,$A255),"BEST","")</f>
        <v/>
      </c>
    </row>
    <row r="256" customFormat="false" ht="15" hidden="false" customHeight="false" outlineLevel="0" collapsed="false">
      <c r="A256" s="16" t="s">
        <v>51</v>
      </c>
      <c r="B256" s="16" t="s">
        <v>95</v>
      </c>
      <c r="C256" s="16" t="s">
        <v>68</v>
      </c>
      <c r="D256" s="16" t="s">
        <v>89</v>
      </c>
      <c r="E256" s="17" t="s">
        <v>96</v>
      </c>
      <c r="F256" s="17" t="n">
        <v>1</v>
      </c>
      <c r="G256" s="19" t="n">
        <v>0.00749640730850997</v>
      </c>
      <c r="H256" s="19" t="n">
        <v>0.00174227996024532</v>
      </c>
      <c r="I256" s="19" t="n">
        <v>0.00140521878305589</v>
      </c>
      <c r="J256" s="18" t="n">
        <v>0.999943803877465</v>
      </c>
      <c r="K256" s="29" t="n">
        <v>0.329292406382286</v>
      </c>
      <c r="L256" s="19" t="n">
        <v>0.00592866448756402</v>
      </c>
      <c r="M256" s="17" t="n">
        <v>300</v>
      </c>
      <c r="N256" s="17" t="n">
        <v>301</v>
      </c>
      <c r="O256" s="17" t="n">
        <v>3</v>
      </c>
      <c r="P256" s="17" t="n">
        <v>799</v>
      </c>
      <c r="Q256" s="17" t="n">
        <v>299</v>
      </c>
      <c r="R256" s="27" t="str">
        <f aca="false">IF(G256=_xlfn.MINIFS($G$2:$G$361,$A$2:$A$361,$A256),"BEST","")</f>
        <v/>
      </c>
    </row>
    <row r="257" customFormat="false" ht="15" hidden="false" customHeight="false" outlineLevel="0" collapsed="false">
      <c r="A257" s="16" t="s">
        <v>51</v>
      </c>
      <c r="B257" s="16" t="s">
        <v>104</v>
      </c>
      <c r="C257" s="16" t="s">
        <v>68</v>
      </c>
      <c r="D257" s="16" t="s">
        <v>89</v>
      </c>
      <c r="E257" s="17" t="s">
        <v>105</v>
      </c>
      <c r="F257" s="17" t="n">
        <v>1</v>
      </c>
      <c r="G257" s="19" t="n">
        <v>0.00876867860706998</v>
      </c>
      <c r="H257" s="19" t="n">
        <v>0.00203797531086481</v>
      </c>
      <c r="I257" s="19" t="n">
        <v>0.00166055071614094</v>
      </c>
      <c r="J257" s="18" t="n">
        <v>0.999923110275486</v>
      </c>
      <c r="K257" s="29" t="n">
        <v>0.432608972853933</v>
      </c>
      <c r="L257" s="19" t="n">
        <v>0.00689389657449824</v>
      </c>
      <c r="M257" s="17" t="n">
        <v>300</v>
      </c>
      <c r="N257" s="17" t="n">
        <v>301</v>
      </c>
      <c r="O257" s="17" t="n">
        <v>3</v>
      </c>
      <c r="P257" s="17" t="n">
        <v>799</v>
      </c>
      <c r="Q257" s="17" t="n">
        <v>299</v>
      </c>
      <c r="R257" s="27" t="str">
        <f aca="false">IF(G257=_xlfn.MINIFS($G$2:$G$361,$A$2:$A$361,$A257),"BEST","")</f>
        <v/>
      </c>
    </row>
    <row r="258" customFormat="false" ht="15" hidden="false" customHeight="false" outlineLevel="0" collapsed="false">
      <c r="A258" s="16" t="s">
        <v>51</v>
      </c>
      <c r="B258" s="16" t="s">
        <v>91</v>
      </c>
      <c r="C258" s="16" t="s">
        <v>68</v>
      </c>
      <c r="D258" s="16" t="s">
        <v>89</v>
      </c>
      <c r="E258" s="17" t="s">
        <v>92</v>
      </c>
      <c r="F258" s="17" t="n">
        <v>4</v>
      </c>
      <c r="G258" s="19" t="n">
        <v>0.00880258798623812</v>
      </c>
      <c r="H258" s="19" t="n">
        <v>0.00204585637033205</v>
      </c>
      <c r="I258" s="19" t="n">
        <v>0.00153104943788023</v>
      </c>
      <c r="J258" s="18" t="n">
        <v>0.999922514444745</v>
      </c>
      <c r="K258" s="29" t="n">
        <v>0.303442945420442</v>
      </c>
      <c r="L258" s="19" t="n">
        <v>0.00643195007937103</v>
      </c>
      <c r="M258" s="17" t="n">
        <v>300</v>
      </c>
      <c r="N258" s="17" t="n">
        <v>301</v>
      </c>
      <c r="O258" s="17" t="n">
        <v>3</v>
      </c>
      <c r="P258" s="17" t="n">
        <v>799</v>
      </c>
      <c r="Q258" s="17" t="n">
        <v>299</v>
      </c>
      <c r="R258" s="27" t="str">
        <f aca="false">IF(G258=_xlfn.MINIFS($G$2:$G$361,$A$2:$A$361,$A258),"BEST","")</f>
        <v/>
      </c>
    </row>
    <row r="259" customFormat="false" ht="15" hidden="false" customHeight="false" outlineLevel="0" collapsed="false">
      <c r="A259" s="16" t="s">
        <v>51</v>
      </c>
      <c r="B259" s="16" t="s">
        <v>91</v>
      </c>
      <c r="C259" s="16" t="s">
        <v>68</v>
      </c>
      <c r="D259" s="16" t="s">
        <v>89</v>
      </c>
      <c r="E259" s="17" t="s">
        <v>92</v>
      </c>
      <c r="F259" s="17" t="n">
        <v>0</v>
      </c>
      <c r="G259" s="19" t="n">
        <v>0.00881818260764569</v>
      </c>
      <c r="H259" s="19" t="n">
        <v>0.0020494807993749</v>
      </c>
      <c r="I259" s="19" t="n">
        <v>0.00153521382084925</v>
      </c>
      <c r="J259" s="18" t="n">
        <v>0.999922239655498</v>
      </c>
      <c r="K259" s="29" t="n">
        <v>0.305026555553856</v>
      </c>
      <c r="L259" s="19" t="n">
        <v>0.00640745858841796</v>
      </c>
      <c r="M259" s="17" t="n">
        <v>300</v>
      </c>
      <c r="N259" s="17" t="n">
        <v>301</v>
      </c>
      <c r="O259" s="17" t="n">
        <v>3</v>
      </c>
      <c r="P259" s="17" t="n">
        <v>799</v>
      </c>
      <c r="Q259" s="17" t="n">
        <v>299</v>
      </c>
      <c r="R259" s="27" t="str">
        <f aca="false">IF(G259=_xlfn.MINIFS($G$2:$G$361,$A$2:$A$361,$A259),"BEST","")</f>
        <v/>
      </c>
    </row>
    <row r="260" customFormat="false" ht="15" hidden="false" customHeight="false" outlineLevel="0" collapsed="false">
      <c r="A260" s="16" t="s">
        <v>51</v>
      </c>
      <c r="B260" s="16" t="s">
        <v>91</v>
      </c>
      <c r="C260" s="16" t="s">
        <v>68</v>
      </c>
      <c r="D260" s="16" t="s">
        <v>89</v>
      </c>
      <c r="E260" s="17" t="s">
        <v>92</v>
      </c>
      <c r="F260" s="17" t="n">
        <v>3</v>
      </c>
      <c r="G260" s="19" t="n">
        <v>0.0088201954078894</v>
      </c>
      <c r="H260" s="19" t="n">
        <v>0.00204994860500289</v>
      </c>
      <c r="I260" s="19" t="n">
        <v>0.00153739879095571</v>
      </c>
      <c r="J260" s="18" t="n">
        <v>0.999922204152967</v>
      </c>
      <c r="K260" s="29" t="n">
        <v>0.303680237235844</v>
      </c>
      <c r="L260" s="19" t="n">
        <v>0.00636584035399013</v>
      </c>
      <c r="M260" s="17" t="n">
        <v>300</v>
      </c>
      <c r="N260" s="17" t="n">
        <v>301</v>
      </c>
      <c r="O260" s="17" t="n">
        <v>3</v>
      </c>
      <c r="P260" s="17" t="n">
        <v>799</v>
      </c>
      <c r="Q260" s="17" t="n">
        <v>299</v>
      </c>
      <c r="R260" s="27" t="str">
        <f aca="false">IF(G260=_xlfn.MINIFS($G$2:$G$361,$A$2:$A$361,$A260),"BEST","")</f>
        <v/>
      </c>
    </row>
    <row r="261" customFormat="false" ht="15" hidden="false" customHeight="false" outlineLevel="0" collapsed="false">
      <c r="A261" s="16" t="s">
        <v>51</v>
      </c>
      <c r="B261" s="16" t="s">
        <v>91</v>
      </c>
      <c r="C261" s="16" t="s">
        <v>68</v>
      </c>
      <c r="D261" s="16" t="s">
        <v>89</v>
      </c>
      <c r="E261" s="17" t="s">
        <v>92</v>
      </c>
      <c r="F261" s="17" t="n">
        <v>2</v>
      </c>
      <c r="G261" s="19" t="n">
        <v>0.00886325193902613</v>
      </c>
      <c r="H261" s="19" t="n">
        <v>0.00205995560279129</v>
      </c>
      <c r="I261" s="19" t="n">
        <v>0.00155175657697442</v>
      </c>
      <c r="J261" s="18" t="n">
        <v>0.999921442765065</v>
      </c>
      <c r="K261" s="29" t="n">
        <v>0.307937029808269</v>
      </c>
      <c r="L261" s="19" t="n">
        <v>0.00635546864047609</v>
      </c>
      <c r="M261" s="17" t="n">
        <v>300</v>
      </c>
      <c r="N261" s="17" t="n">
        <v>301</v>
      </c>
      <c r="O261" s="17" t="n">
        <v>3</v>
      </c>
      <c r="P261" s="17" t="n">
        <v>799</v>
      </c>
      <c r="Q261" s="17" t="n">
        <v>299</v>
      </c>
      <c r="R261" s="27" t="str">
        <f aca="false">IF(G261=_xlfn.MINIFS($G$2:$G$361,$A$2:$A$361,$A261),"BEST","")</f>
        <v/>
      </c>
    </row>
    <row r="262" customFormat="false" ht="15" hidden="false" customHeight="false" outlineLevel="0" collapsed="false">
      <c r="A262" s="16" t="s">
        <v>51</v>
      </c>
      <c r="B262" s="16" t="s">
        <v>91</v>
      </c>
      <c r="C262" s="16" t="s">
        <v>68</v>
      </c>
      <c r="D262" s="16" t="s">
        <v>89</v>
      </c>
      <c r="E262" s="17" t="s">
        <v>92</v>
      </c>
      <c r="F262" s="17" t="n">
        <v>1</v>
      </c>
      <c r="G262" s="19" t="n">
        <v>0.0088690014006966</v>
      </c>
      <c r="H262" s="19" t="n">
        <v>0.00206129186580881</v>
      </c>
      <c r="I262" s="19" t="n">
        <v>0.00154603536645489</v>
      </c>
      <c r="J262" s="18" t="n">
        <v>0.999921340814154</v>
      </c>
      <c r="K262" s="29" t="n">
        <v>0.307197577035321</v>
      </c>
      <c r="L262" s="19" t="n">
        <v>0.00639345039400463</v>
      </c>
      <c r="M262" s="17" t="n">
        <v>300</v>
      </c>
      <c r="N262" s="17" t="n">
        <v>301</v>
      </c>
      <c r="O262" s="17" t="n">
        <v>3</v>
      </c>
      <c r="P262" s="17" t="n">
        <v>799</v>
      </c>
      <c r="Q262" s="17" t="n">
        <v>299</v>
      </c>
      <c r="R262" s="27" t="str">
        <f aca="false">IF(G262=_xlfn.MINIFS($G$2:$G$361,$A$2:$A$361,$A262),"BEST","")</f>
        <v/>
      </c>
    </row>
    <row r="263" customFormat="false" ht="15" hidden="false" customHeight="false" outlineLevel="0" collapsed="false">
      <c r="A263" s="16" t="s">
        <v>51</v>
      </c>
      <c r="B263" s="16" t="s">
        <v>104</v>
      </c>
      <c r="C263" s="16" t="s">
        <v>68</v>
      </c>
      <c r="D263" s="16" t="s">
        <v>89</v>
      </c>
      <c r="E263" s="17" t="s">
        <v>105</v>
      </c>
      <c r="F263" s="17" t="n">
        <v>3</v>
      </c>
      <c r="G263" s="19" t="n">
        <v>0.00888175779387812</v>
      </c>
      <c r="H263" s="19" t="n">
        <v>0.00206425664710878</v>
      </c>
      <c r="I263" s="19" t="n">
        <v>0.00168893459566169</v>
      </c>
      <c r="J263" s="18" t="n">
        <v>0.999921114378491</v>
      </c>
      <c r="K263" s="29" t="n">
        <v>0.431281794947438</v>
      </c>
      <c r="L263" s="19" t="n">
        <v>0.00675728812967047</v>
      </c>
      <c r="M263" s="17" t="n">
        <v>300</v>
      </c>
      <c r="N263" s="17" t="n">
        <v>301</v>
      </c>
      <c r="O263" s="17" t="n">
        <v>3</v>
      </c>
      <c r="P263" s="17" t="n">
        <v>799</v>
      </c>
      <c r="Q263" s="17" t="n">
        <v>299</v>
      </c>
      <c r="R263" s="27" t="str">
        <f aca="false">IF(G263=_xlfn.MINIFS($G$2:$G$361,$A$2:$A$361,$A263),"BEST","")</f>
        <v/>
      </c>
    </row>
    <row r="264" customFormat="false" ht="15" hidden="false" customHeight="false" outlineLevel="0" collapsed="false">
      <c r="A264" s="16" t="s">
        <v>51</v>
      </c>
      <c r="B264" s="16" t="s">
        <v>104</v>
      </c>
      <c r="C264" s="16" t="s">
        <v>68</v>
      </c>
      <c r="D264" s="16" t="s">
        <v>89</v>
      </c>
      <c r="E264" s="17" t="s">
        <v>105</v>
      </c>
      <c r="F264" s="17" t="n">
        <v>0</v>
      </c>
      <c r="G264" s="19" t="n">
        <v>0.0092454147218339</v>
      </c>
      <c r="H264" s="19" t="n">
        <v>0.00214877609114465</v>
      </c>
      <c r="I264" s="19" t="n">
        <v>0.00177116111563861</v>
      </c>
      <c r="J264" s="18" t="n">
        <v>0.999914522306621</v>
      </c>
      <c r="K264" s="29" t="n">
        <v>0.459575660058421</v>
      </c>
      <c r="L264" s="19" t="n">
        <v>0.00598171030650474</v>
      </c>
      <c r="M264" s="17" t="n">
        <v>300</v>
      </c>
      <c r="N264" s="17" t="n">
        <v>301</v>
      </c>
      <c r="O264" s="17" t="n">
        <v>3</v>
      </c>
      <c r="P264" s="17" t="n">
        <v>799</v>
      </c>
      <c r="Q264" s="17" t="n">
        <v>299</v>
      </c>
      <c r="R264" s="27" t="str">
        <f aca="false">IF(G264=_xlfn.MINIFS($G$2:$G$361,$A$2:$A$361,$A264),"BEST","")</f>
        <v/>
      </c>
    </row>
    <row r="265" customFormat="false" ht="15" hidden="false" customHeight="false" outlineLevel="0" collapsed="false">
      <c r="A265" s="16" t="s">
        <v>51</v>
      </c>
      <c r="B265" s="16" t="s">
        <v>104</v>
      </c>
      <c r="C265" s="16" t="s">
        <v>68</v>
      </c>
      <c r="D265" s="16" t="s">
        <v>89</v>
      </c>
      <c r="E265" s="17" t="s">
        <v>105</v>
      </c>
      <c r="F265" s="17" t="n">
        <v>2</v>
      </c>
      <c r="G265" s="19" t="n">
        <v>0.00992202173973707</v>
      </c>
      <c r="H265" s="19" t="n">
        <v>0.00230602993285037</v>
      </c>
      <c r="I265" s="19" t="n">
        <v>0.00187983393078441</v>
      </c>
      <c r="J265" s="18" t="n">
        <v>0.999901553484596</v>
      </c>
      <c r="K265" s="29" t="n">
        <v>0.503518226577167</v>
      </c>
      <c r="L265" s="19" t="n">
        <v>0.00769495475866</v>
      </c>
      <c r="M265" s="17" t="n">
        <v>300</v>
      </c>
      <c r="N265" s="17" t="n">
        <v>301</v>
      </c>
      <c r="O265" s="17" t="n">
        <v>3</v>
      </c>
      <c r="P265" s="17" t="n">
        <v>799</v>
      </c>
      <c r="Q265" s="17" t="n">
        <v>299</v>
      </c>
      <c r="R265" s="27" t="str">
        <f aca="false">IF(G265=_xlfn.MINIFS($G$2:$G$361,$A$2:$A$361,$A265),"BEST","")</f>
        <v/>
      </c>
    </row>
    <row r="266" customFormat="false" ht="15" hidden="false" customHeight="false" outlineLevel="0" collapsed="false">
      <c r="A266" s="16" t="s">
        <v>51</v>
      </c>
      <c r="B266" s="16" t="s">
        <v>88</v>
      </c>
      <c r="C266" s="16" t="s">
        <v>68</v>
      </c>
      <c r="D266" s="16" t="s">
        <v>89</v>
      </c>
      <c r="E266" s="17" t="s">
        <v>90</v>
      </c>
      <c r="F266" s="17" t="n">
        <v>0</v>
      </c>
      <c r="G266" s="19" t="n">
        <v>0.0105161515428104</v>
      </c>
      <c r="H266" s="19" t="n">
        <v>0.00244411480565393</v>
      </c>
      <c r="I266" s="19" t="n">
        <v>0.00197505534507982</v>
      </c>
      <c r="J266" s="18" t="n">
        <v>0.999889410556729</v>
      </c>
      <c r="K266" s="29" t="n">
        <v>0.445146706838561</v>
      </c>
      <c r="L266" s="19" t="n">
        <v>0.006794903416937</v>
      </c>
      <c r="M266" s="17" t="n">
        <v>10</v>
      </c>
      <c r="N266" s="17" t="n">
        <v>11</v>
      </c>
      <c r="O266" s="17" t="n">
        <v>3</v>
      </c>
      <c r="P266" s="17" t="n">
        <v>799</v>
      </c>
      <c r="Q266" s="17" t="n">
        <v>299</v>
      </c>
      <c r="R266" s="27" t="str">
        <f aca="false">IF(G266=_xlfn.MINIFS($G$2:$G$361,$A$2:$A$361,$A266),"BEST","")</f>
        <v/>
      </c>
    </row>
    <row r="267" customFormat="false" ht="15" hidden="false" customHeight="false" outlineLevel="0" collapsed="false">
      <c r="A267" s="16" t="s">
        <v>51</v>
      </c>
      <c r="B267" s="16" t="s">
        <v>88</v>
      </c>
      <c r="C267" s="16" t="s">
        <v>68</v>
      </c>
      <c r="D267" s="16" t="s">
        <v>89</v>
      </c>
      <c r="E267" s="17" t="s">
        <v>90</v>
      </c>
      <c r="F267" s="17" t="n">
        <v>1</v>
      </c>
      <c r="G267" s="19" t="n">
        <v>0.0105161515428104</v>
      </c>
      <c r="H267" s="19" t="n">
        <v>0.00244411480565393</v>
      </c>
      <c r="I267" s="19" t="n">
        <v>0.00197505534507982</v>
      </c>
      <c r="J267" s="18" t="n">
        <v>0.999889410556729</v>
      </c>
      <c r="K267" s="29" t="n">
        <v>0.445146706838561</v>
      </c>
      <c r="L267" s="19" t="n">
        <v>0.006794903416937</v>
      </c>
      <c r="M267" s="17" t="n">
        <v>10</v>
      </c>
      <c r="N267" s="17" t="n">
        <v>11</v>
      </c>
      <c r="O267" s="17" t="n">
        <v>3</v>
      </c>
      <c r="P267" s="17" t="n">
        <v>799</v>
      </c>
      <c r="Q267" s="17" t="n">
        <v>299</v>
      </c>
      <c r="R267" s="27" t="str">
        <f aca="false">IF(G267=_xlfn.MINIFS($G$2:$G$361,$A$2:$A$361,$A267),"BEST","")</f>
        <v/>
      </c>
    </row>
    <row r="268" customFormat="false" ht="15" hidden="false" customHeight="false" outlineLevel="0" collapsed="false">
      <c r="A268" s="16" t="s">
        <v>51</v>
      </c>
      <c r="B268" s="16" t="s">
        <v>88</v>
      </c>
      <c r="C268" s="16" t="s">
        <v>68</v>
      </c>
      <c r="D268" s="16" t="s">
        <v>89</v>
      </c>
      <c r="E268" s="17" t="s">
        <v>90</v>
      </c>
      <c r="F268" s="17" t="n">
        <v>2</v>
      </c>
      <c r="G268" s="19" t="n">
        <v>0.0105161515428104</v>
      </c>
      <c r="H268" s="19" t="n">
        <v>0.00244411480565393</v>
      </c>
      <c r="I268" s="19" t="n">
        <v>0.00197505534507982</v>
      </c>
      <c r="J268" s="18" t="n">
        <v>0.999889410556729</v>
      </c>
      <c r="K268" s="29" t="n">
        <v>0.445146706838561</v>
      </c>
      <c r="L268" s="19" t="n">
        <v>0.006794903416937</v>
      </c>
      <c r="M268" s="17" t="n">
        <v>10</v>
      </c>
      <c r="N268" s="17" t="n">
        <v>11</v>
      </c>
      <c r="O268" s="17" t="n">
        <v>3</v>
      </c>
      <c r="P268" s="17" t="n">
        <v>799</v>
      </c>
      <c r="Q268" s="17" t="n">
        <v>299</v>
      </c>
      <c r="R268" s="27" t="str">
        <f aca="false">IF(G268=_xlfn.MINIFS($G$2:$G$361,$A$2:$A$361,$A268),"BEST","")</f>
        <v/>
      </c>
    </row>
    <row r="269" customFormat="false" ht="15" hidden="false" customHeight="false" outlineLevel="0" collapsed="false">
      <c r="A269" s="16" t="s">
        <v>51</v>
      </c>
      <c r="B269" s="16" t="s">
        <v>88</v>
      </c>
      <c r="C269" s="16" t="s">
        <v>68</v>
      </c>
      <c r="D269" s="16" t="s">
        <v>89</v>
      </c>
      <c r="E269" s="17" t="s">
        <v>90</v>
      </c>
      <c r="F269" s="17" t="n">
        <v>3</v>
      </c>
      <c r="G269" s="19" t="n">
        <v>0.0105161515428104</v>
      </c>
      <c r="H269" s="19" t="n">
        <v>0.00244411480565393</v>
      </c>
      <c r="I269" s="19" t="n">
        <v>0.00197505534507982</v>
      </c>
      <c r="J269" s="18" t="n">
        <v>0.999889410556729</v>
      </c>
      <c r="K269" s="29" t="n">
        <v>0.445146706838561</v>
      </c>
      <c r="L269" s="19" t="n">
        <v>0.006794903416937</v>
      </c>
      <c r="M269" s="17" t="n">
        <v>10</v>
      </c>
      <c r="N269" s="17" t="n">
        <v>11</v>
      </c>
      <c r="O269" s="17" t="n">
        <v>3</v>
      </c>
      <c r="P269" s="17" t="n">
        <v>799</v>
      </c>
      <c r="Q269" s="17" t="n">
        <v>299</v>
      </c>
      <c r="R269" s="27" t="str">
        <f aca="false">IF(G269=_xlfn.MINIFS($G$2:$G$361,$A$2:$A$361,$A269),"BEST","")</f>
        <v/>
      </c>
    </row>
    <row r="270" customFormat="false" ht="15" hidden="false" customHeight="false" outlineLevel="0" collapsed="false">
      <c r="A270" s="16" t="s">
        <v>51</v>
      </c>
      <c r="B270" s="16" t="s">
        <v>88</v>
      </c>
      <c r="C270" s="16" t="s">
        <v>68</v>
      </c>
      <c r="D270" s="16" t="s">
        <v>89</v>
      </c>
      <c r="E270" s="17" t="s">
        <v>90</v>
      </c>
      <c r="F270" s="17" t="n">
        <v>4</v>
      </c>
      <c r="G270" s="19" t="n">
        <v>0.0105161515428104</v>
      </c>
      <c r="H270" s="19" t="n">
        <v>0.00244411480565393</v>
      </c>
      <c r="I270" s="19" t="n">
        <v>0.00197505534507982</v>
      </c>
      <c r="J270" s="18" t="n">
        <v>0.999889410556729</v>
      </c>
      <c r="K270" s="29" t="n">
        <v>0.445146706838561</v>
      </c>
      <c r="L270" s="19" t="n">
        <v>0.006794903416937</v>
      </c>
      <c r="M270" s="17" t="n">
        <v>10</v>
      </c>
      <c r="N270" s="17" t="n">
        <v>11</v>
      </c>
      <c r="O270" s="17" t="n">
        <v>3</v>
      </c>
      <c r="P270" s="17" t="n">
        <v>799</v>
      </c>
      <c r="Q270" s="17" t="n">
        <v>299</v>
      </c>
      <c r="R270" s="27" t="str">
        <f aca="false">IF(G270=_xlfn.MINIFS($G$2:$G$361,$A$2:$A$361,$A270),"BEST","")</f>
        <v/>
      </c>
    </row>
    <row r="271" customFormat="false" ht="15" hidden="false" customHeight="false" outlineLevel="0" collapsed="false">
      <c r="A271" s="16" t="s">
        <v>51</v>
      </c>
      <c r="B271" s="16" t="s">
        <v>104</v>
      </c>
      <c r="C271" s="16" t="s">
        <v>68</v>
      </c>
      <c r="D271" s="16" t="s">
        <v>89</v>
      </c>
      <c r="E271" s="17" t="s">
        <v>105</v>
      </c>
      <c r="F271" s="17" t="n">
        <v>4</v>
      </c>
      <c r="G271" s="19" t="n">
        <v>0.0110031037218758</v>
      </c>
      <c r="H271" s="19" t="n">
        <v>0.00255728995586492</v>
      </c>
      <c r="I271" s="19" t="n">
        <v>0.0021689246467801</v>
      </c>
      <c r="J271" s="18" t="n">
        <v>0.999878931708486</v>
      </c>
      <c r="K271" s="29" t="n">
        <v>0.600777271810638</v>
      </c>
      <c r="L271" s="19" t="n">
        <v>0.00706368016062231</v>
      </c>
      <c r="M271" s="17" t="n">
        <v>300</v>
      </c>
      <c r="N271" s="17" t="n">
        <v>301</v>
      </c>
      <c r="O271" s="17" t="n">
        <v>3</v>
      </c>
      <c r="P271" s="17" t="n">
        <v>799</v>
      </c>
      <c r="Q271" s="17" t="n">
        <v>299</v>
      </c>
      <c r="R271" s="27" t="str">
        <f aca="false">IF(G271=_xlfn.MINIFS($G$2:$G$361,$A$2:$A$361,$A271),"BEST","")</f>
        <v/>
      </c>
    </row>
    <row r="272" customFormat="false" ht="15" hidden="false" customHeight="false" outlineLevel="0" collapsed="false">
      <c r="A272" s="16" t="s">
        <v>51</v>
      </c>
      <c r="B272" s="16" t="s">
        <v>120</v>
      </c>
      <c r="C272" s="16" t="s">
        <v>68</v>
      </c>
      <c r="D272" s="16" t="s">
        <v>121</v>
      </c>
      <c r="E272" s="16" t="s">
        <v>120</v>
      </c>
      <c r="F272" s="17" t="n">
        <v>0</v>
      </c>
      <c r="G272" s="19" t="n">
        <v>0.0150433638160747</v>
      </c>
      <c r="H272" s="19" t="n">
        <v>0.00349630832914761</v>
      </c>
      <c r="I272" s="19" t="n">
        <v>0.00285837439466837</v>
      </c>
      <c r="J272" s="18" t="n">
        <v>0.999773697205097</v>
      </c>
      <c r="K272" s="29" t="n">
        <v>0.787319784980904</v>
      </c>
      <c r="L272" s="19" t="n">
        <v>0.00789735208635334</v>
      </c>
      <c r="M272" s="17" t="n">
        <v>2</v>
      </c>
      <c r="N272" s="17" t="n">
        <v>5</v>
      </c>
      <c r="O272" s="17" t="n">
        <v>1</v>
      </c>
      <c r="P272" s="17" t="n">
        <v>800</v>
      </c>
      <c r="Q272" s="17" t="n">
        <v>299</v>
      </c>
      <c r="R272" s="27" t="str">
        <f aca="false">IF(G272=_xlfn.MINIFS($G$2:$G$361,$A$2:$A$361,$A272),"BEST","")</f>
        <v/>
      </c>
    </row>
    <row r="273" customFormat="false" ht="15" hidden="false" customHeight="false" outlineLevel="0" collapsed="false">
      <c r="A273" s="16" t="s">
        <v>51</v>
      </c>
      <c r="B273" s="16" t="s">
        <v>120</v>
      </c>
      <c r="C273" s="16" t="s">
        <v>68</v>
      </c>
      <c r="D273" s="16" t="s">
        <v>121</v>
      </c>
      <c r="E273" s="16" t="s">
        <v>120</v>
      </c>
      <c r="F273" s="17" t="n">
        <v>1</v>
      </c>
      <c r="G273" s="19" t="n">
        <v>0.0150433638160747</v>
      </c>
      <c r="H273" s="19" t="n">
        <v>0.00349630832914761</v>
      </c>
      <c r="I273" s="19" t="n">
        <v>0.00285837439466837</v>
      </c>
      <c r="J273" s="18" t="n">
        <v>0.999773697205097</v>
      </c>
      <c r="K273" s="29" t="n">
        <v>0.787319784980904</v>
      </c>
      <c r="L273" s="19" t="n">
        <v>0.00789735208635334</v>
      </c>
      <c r="M273" s="17" t="n">
        <v>2</v>
      </c>
      <c r="N273" s="17" t="n">
        <v>5</v>
      </c>
      <c r="O273" s="17" t="n">
        <v>1</v>
      </c>
      <c r="P273" s="17" t="n">
        <v>800</v>
      </c>
      <c r="Q273" s="17" t="n">
        <v>299</v>
      </c>
      <c r="R273" s="27" t="str">
        <f aca="false">IF(G273=_xlfn.MINIFS($G$2:$G$361,$A$2:$A$361,$A273),"BEST","")</f>
        <v/>
      </c>
    </row>
    <row r="274" customFormat="false" ht="15" hidden="false" customHeight="false" outlineLevel="0" collapsed="false">
      <c r="A274" s="16" t="s">
        <v>51</v>
      </c>
      <c r="B274" s="16" t="s">
        <v>120</v>
      </c>
      <c r="C274" s="16" t="s">
        <v>68</v>
      </c>
      <c r="D274" s="16" t="s">
        <v>121</v>
      </c>
      <c r="E274" s="16" t="s">
        <v>120</v>
      </c>
      <c r="F274" s="17" t="n">
        <v>2</v>
      </c>
      <c r="G274" s="19" t="n">
        <v>0.0150433638160747</v>
      </c>
      <c r="H274" s="19" t="n">
        <v>0.00349630832914761</v>
      </c>
      <c r="I274" s="19" t="n">
        <v>0.00285837439466837</v>
      </c>
      <c r="J274" s="18" t="n">
        <v>0.999773697205097</v>
      </c>
      <c r="K274" s="29" t="n">
        <v>0.787319784980904</v>
      </c>
      <c r="L274" s="19" t="n">
        <v>0.00789735208635334</v>
      </c>
      <c r="M274" s="17" t="n">
        <v>2</v>
      </c>
      <c r="N274" s="17" t="n">
        <v>5</v>
      </c>
      <c r="O274" s="17" t="n">
        <v>1</v>
      </c>
      <c r="P274" s="17" t="n">
        <v>800</v>
      </c>
      <c r="Q274" s="17" t="n">
        <v>299</v>
      </c>
      <c r="R274" s="27" t="str">
        <f aca="false">IF(G274=_xlfn.MINIFS($G$2:$G$361,$A$2:$A$361,$A274),"BEST","")</f>
        <v/>
      </c>
    </row>
    <row r="275" customFormat="false" ht="15" hidden="false" customHeight="false" outlineLevel="0" collapsed="false">
      <c r="A275" s="16" t="s">
        <v>51</v>
      </c>
      <c r="B275" s="16" t="s">
        <v>120</v>
      </c>
      <c r="C275" s="16" t="s">
        <v>68</v>
      </c>
      <c r="D275" s="16" t="s">
        <v>121</v>
      </c>
      <c r="E275" s="16" t="s">
        <v>120</v>
      </c>
      <c r="F275" s="17" t="n">
        <v>3</v>
      </c>
      <c r="G275" s="19" t="n">
        <v>0.0150433638160747</v>
      </c>
      <c r="H275" s="19" t="n">
        <v>0.00349630832914761</v>
      </c>
      <c r="I275" s="19" t="n">
        <v>0.00285837439466837</v>
      </c>
      <c r="J275" s="18" t="n">
        <v>0.999773697205097</v>
      </c>
      <c r="K275" s="29" t="n">
        <v>0.787319784980904</v>
      </c>
      <c r="L275" s="19" t="n">
        <v>0.00789735208635334</v>
      </c>
      <c r="M275" s="17" t="n">
        <v>2</v>
      </c>
      <c r="N275" s="17" t="n">
        <v>5</v>
      </c>
      <c r="O275" s="17" t="n">
        <v>1</v>
      </c>
      <c r="P275" s="17" t="n">
        <v>800</v>
      </c>
      <c r="Q275" s="17" t="n">
        <v>299</v>
      </c>
      <c r="R275" s="27" t="str">
        <f aca="false">IF(G275=_xlfn.MINIFS($G$2:$G$361,$A$2:$A$361,$A275),"BEST","")</f>
        <v/>
      </c>
    </row>
    <row r="276" customFormat="false" ht="15" hidden="false" customHeight="false" outlineLevel="0" collapsed="false">
      <c r="A276" s="16" t="s">
        <v>51</v>
      </c>
      <c r="B276" s="16" t="s">
        <v>120</v>
      </c>
      <c r="C276" s="16" t="s">
        <v>68</v>
      </c>
      <c r="D276" s="16" t="s">
        <v>121</v>
      </c>
      <c r="E276" s="16" t="s">
        <v>120</v>
      </c>
      <c r="F276" s="17" t="n">
        <v>4</v>
      </c>
      <c r="G276" s="19" t="n">
        <v>0.0150433638160747</v>
      </c>
      <c r="H276" s="19" t="n">
        <v>0.00349630832914761</v>
      </c>
      <c r="I276" s="19" t="n">
        <v>0.00285837439466837</v>
      </c>
      <c r="J276" s="18" t="n">
        <v>0.999773697205097</v>
      </c>
      <c r="K276" s="29" t="n">
        <v>0.787319784980904</v>
      </c>
      <c r="L276" s="19" t="n">
        <v>0.00789735208635334</v>
      </c>
      <c r="M276" s="17" t="n">
        <v>2</v>
      </c>
      <c r="N276" s="17" t="n">
        <v>5</v>
      </c>
      <c r="O276" s="17" t="n">
        <v>1</v>
      </c>
      <c r="P276" s="17" t="n">
        <v>800</v>
      </c>
      <c r="Q276" s="17" t="n">
        <v>299</v>
      </c>
      <c r="R276" s="27" t="str">
        <f aca="false">IF(G276=_xlfn.MINIFS($G$2:$G$361,$A$2:$A$361,$A276),"BEST","")</f>
        <v/>
      </c>
    </row>
    <row r="277" customFormat="false" ht="15" hidden="false" customHeight="false" outlineLevel="0" collapsed="false">
      <c r="A277" s="16" t="s">
        <v>51</v>
      </c>
      <c r="B277" s="16" t="s">
        <v>122</v>
      </c>
      <c r="C277" s="16" t="s">
        <v>68</v>
      </c>
      <c r="D277" s="16" t="s">
        <v>121</v>
      </c>
      <c r="E277" s="17" t="s">
        <v>123</v>
      </c>
      <c r="F277" s="17" t="n">
        <v>0</v>
      </c>
      <c r="G277" s="19" t="n">
        <v>0.0279251076472789</v>
      </c>
      <c r="H277" s="19" t="n">
        <v>0.00649022304141821</v>
      </c>
      <c r="I277" s="19" t="n">
        <v>0.00540761671076365</v>
      </c>
      <c r="J277" s="18" t="n">
        <v>0.999220188362888</v>
      </c>
      <c r="K277" s="29" t="n">
        <v>1.39879423183656</v>
      </c>
      <c r="L277" s="19" t="n">
        <v>0.0141940134681141</v>
      </c>
      <c r="M277" s="17" t="n">
        <v>2</v>
      </c>
      <c r="N277" s="17" t="n">
        <v>4</v>
      </c>
      <c r="O277" s="17" t="n">
        <v>1</v>
      </c>
      <c r="P277" s="17" t="n">
        <v>800</v>
      </c>
      <c r="Q277" s="17" t="n">
        <v>299</v>
      </c>
      <c r="R277" s="27" t="str">
        <f aca="false">IF(G277=_xlfn.MINIFS($G$2:$G$361,$A$2:$A$361,$A277),"BEST","")</f>
        <v/>
      </c>
    </row>
    <row r="278" customFormat="false" ht="15" hidden="false" customHeight="false" outlineLevel="0" collapsed="false">
      <c r="A278" s="16" t="s">
        <v>51</v>
      </c>
      <c r="B278" s="16" t="s">
        <v>122</v>
      </c>
      <c r="C278" s="16" t="s">
        <v>68</v>
      </c>
      <c r="D278" s="16" t="s">
        <v>121</v>
      </c>
      <c r="E278" s="17" t="s">
        <v>123</v>
      </c>
      <c r="F278" s="17" t="n">
        <v>1</v>
      </c>
      <c r="G278" s="19" t="n">
        <v>0.0279251076472789</v>
      </c>
      <c r="H278" s="19" t="n">
        <v>0.00649022304141821</v>
      </c>
      <c r="I278" s="19" t="n">
        <v>0.00540761671076365</v>
      </c>
      <c r="J278" s="18" t="n">
        <v>0.999220188362888</v>
      </c>
      <c r="K278" s="29" t="n">
        <v>1.39879423183656</v>
      </c>
      <c r="L278" s="19" t="n">
        <v>0.0141940134681141</v>
      </c>
      <c r="M278" s="17" t="n">
        <v>2</v>
      </c>
      <c r="N278" s="17" t="n">
        <v>4</v>
      </c>
      <c r="O278" s="17" t="n">
        <v>1</v>
      </c>
      <c r="P278" s="17" t="n">
        <v>800</v>
      </c>
      <c r="Q278" s="17" t="n">
        <v>299</v>
      </c>
      <c r="R278" s="27" t="str">
        <f aca="false">IF(G278=_xlfn.MINIFS($G$2:$G$361,$A$2:$A$361,$A278),"BEST","")</f>
        <v/>
      </c>
    </row>
    <row r="279" customFormat="false" ht="15" hidden="false" customHeight="false" outlineLevel="0" collapsed="false">
      <c r="A279" s="16" t="s">
        <v>51</v>
      </c>
      <c r="B279" s="16" t="s">
        <v>122</v>
      </c>
      <c r="C279" s="16" t="s">
        <v>68</v>
      </c>
      <c r="D279" s="16" t="s">
        <v>121</v>
      </c>
      <c r="E279" s="17" t="s">
        <v>123</v>
      </c>
      <c r="F279" s="17" t="n">
        <v>2</v>
      </c>
      <c r="G279" s="19" t="n">
        <v>0.0279251076472789</v>
      </c>
      <c r="H279" s="19" t="n">
        <v>0.00649022304141821</v>
      </c>
      <c r="I279" s="19" t="n">
        <v>0.00540761671076365</v>
      </c>
      <c r="J279" s="18" t="n">
        <v>0.999220188362888</v>
      </c>
      <c r="K279" s="29" t="n">
        <v>1.39879423183656</v>
      </c>
      <c r="L279" s="19" t="n">
        <v>0.0141940134681141</v>
      </c>
      <c r="M279" s="17" t="n">
        <v>2</v>
      </c>
      <c r="N279" s="17" t="n">
        <v>4</v>
      </c>
      <c r="O279" s="17" t="n">
        <v>1</v>
      </c>
      <c r="P279" s="17" t="n">
        <v>800</v>
      </c>
      <c r="Q279" s="17" t="n">
        <v>299</v>
      </c>
      <c r="R279" s="27" t="str">
        <f aca="false">IF(G279=_xlfn.MINIFS($G$2:$G$361,$A$2:$A$361,$A279),"BEST","")</f>
        <v/>
      </c>
    </row>
    <row r="280" customFormat="false" ht="15" hidden="false" customHeight="false" outlineLevel="0" collapsed="false">
      <c r="A280" s="16" t="s">
        <v>51</v>
      </c>
      <c r="B280" s="16" t="s">
        <v>122</v>
      </c>
      <c r="C280" s="16" t="s">
        <v>68</v>
      </c>
      <c r="D280" s="16" t="s">
        <v>121</v>
      </c>
      <c r="E280" s="17" t="s">
        <v>123</v>
      </c>
      <c r="F280" s="17" t="n">
        <v>3</v>
      </c>
      <c r="G280" s="19" t="n">
        <v>0.0279251076472789</v>
      </c>
      <c r="H280" s="19" t="n">
        <v>0.00649022304141821</v>
      </c>
      <c r="I280" s="19" t="n">
        <v>0.00540761671076365</v>
      </c>
      <c r="J280" s="18" t="n">
        <v>0.999220188362888</v>
      </c>
      <c r="K280" s="29" t="n">
        <v>1.39879423183656</v>
      </c>
      <c r="L280" s="19" t="n">
        <v>0.0141940134681141</v>
      </c>
      <c r="M280" s="17" t="n">
        <v>2</v>
      </c>
      <c r="N280" s="17" t="n">
        <v>4</v>
      </c>
      <c r="O280" s="17" t="n">
        <v>1</v>
      </c>
      <c r="P280" s="17" t="n">
        <v>800</v>
      </c>
      <c r="Q280" s="17" t="n">
        <v>299</v>
      </c>
      <c r="R280" s="27" t="str">
        <f aca="false">IF(G280=_xlfn.MINIFS($G$2:$G$361,$A$2:$A$361,$A280),"BEST","")</f>
        <v/>
      </c>
    </row>
    <row r="281" customFormat="false" ht="15" hidden="false" customHeight="false" outlineLevel="0" collapsed="false">
      <c r="A281" s="16" t="s">
        <v>51</v>
      </c>
      <c r="B281" s="16" t="s">
        <v>122</v>
      </c>
      <c r="C281" s="16" t="s">
        <v>68</v>
      </c>
      <c r="D281" s="16" t="s">
        <v>121</v>
      </c>
      <c r="E281" s="17" t="s">
        <v>123</v>
      </c>
      <c r="F281" s="17" t="n">
        <v>4</v>
      </c>
      <c r="G281" s="19" t="n">
        <v>0.0279251076472789</v>
      </c>
      <c r="H281" s="19" t="n">
        <v>0.00649022304141821</v>
      </c>
      <c r="I281" s="19" t="n">
        <v>0.00540761671076365</v>
      </c>
      <c r="J281" s="18" t="n">
        <v>0.999220188362888</v>
      </c>
      <c r="K281" s="29" t="n">
        <v>1.39879423183656</v>
      </c>
      <c r="L281" s="19" t="n">
        <v>0.0141940134681141</v>
      </c>
      <c r="M281" s="17" t="n">
        <v>2</v>
      </c>
      <c r="N281" s="17" t="n">
        <v>4</v>
      </c>
      <c r="O281" s="17" t="n">
        <v>1</v>
      </c>
      <c r="P281" s="17" t="n">
        <v>800</v>
      </c>
      <c r="Q281" s="17" t="n">
        <v>299</v>
      </c>
      <c r="R281" s="27" t="str">
        <f aca="false">IF(G281=_xlfn.MINIFS($G$2:$G$361,$A$2:$A$361,$A281),"BEST","")</f>
        <v/>
      </c>
    </row>
    <row r="282" customFormat="false" ht="15" hidden="false" customHeight="false" outlineLevel="0" collapsed="false">
      <c r="A282" s="22" t="s">
        <v>51</v>
      </c>
      <c r="B282" s="22" t="s">
        <v>116</v>
      </c>
      <c r="C282" s="22" t="s">
        <v>72</v>
      </c>
      <c r="D282" s="22" t="s">
        <v>93</v>
      </c>
      <c r="E282" s="23" t="s">
        <v>94</v>
      </c>
      <c r="F282" s="23" t="n">
        <v>0</v>
      </c>
      <c r="G282" s="25" t="n">
        <v>0.0337095172828997</v>
      </c>
      <c r="H282" s="25" t="n">
        <v>0.00783460850171081</v>
      </c>
      <c r="I282" s="25" t="n">
        <v>0.00615274548820465</v>
      </c>
      <c r="J282" s="24" t="n">
        <v>0.998863668444554</v>
      </c>
      <c r="K282" s="30" t="n">
        <v>2.04077195655767</v>
      </c>
      <c r="L282" s="25" t="n">
        <v>0.0260684710056931</v>
      </c>
      <c r="M282" s="23" t="n">
        <v>16</v>
      </c>
      <c r="N282" s="23" t="n">
        <v>17</v>
      </c>
      <c r="O282" s="23" t="n">
        <v>5</v>
      </c>
      <c r="P282" s="23" t="n">
        <v>799</v>
      </c>
      <c r="Q282" s="23" t="n">
        <v>299</v>
      </c>
      <c r="R282" s="27" t="str">
        <f aca="false">IF(G282=_xlfn.MINIFS($G$2:$G$361,$A$2:$A$361,$A282),"BEST","")</f>
        <v/>
      </c>
    </row>
    <row r="283" customFormat="false" ht="15" hidden="false" customHeight="false" outlineLevel="0" collapsed="false">
      <c r="A283" s="22" t="s">
        <v>51</v>
      </c>
      <c r="B283" s="22" t="s">
        <v>116</v>
      </c>
      <c r="C283" s="22" t="s">
        <v>72</v>
      </c>
      <c r="D283" s="22" t="s">
        <v>93</v>
      </c>
      <c r="E283" s="23" t="s">
        <v>94</v>
      </c>
      <c r="F283" s="23" t="n">
        <v>3</v>
      </c>
      <c r="G283" s="25" t="n">
        <v>0.0377780814712437</v>
      </c>
      <c r="H283" s="25" t="n">
        <v>0.00878020518030599</v>
      </c>
      <c r="I283" s="25" t="n">
        <v>0.00693404827344785</v>
      </c>
      <c r="J283" s="24" t="n">
        <v>0.998572816560352</v>
      </c>
      <c r="K283" s="30" t="n">
        <v>2.36985848578672</v>
      </c>
      <c r="L283" s="25" t="n">
        <v>0.0263041250405996</v>
      </c>
      <c r="M283" s="23" t="n">
        <v>16</v>
      </c>
      <c r="N283" s="23" t="n">
        <v>17</v>
      </c>
      <c r="O283" s="23" t="n">
        <v>5</v>
      </c>
      <c r="P283" s="23" t="n">
        <v>799</v>
      </c>
      <c r="Q283" s="23" t="n">
        <v>299</v>
      </c>
      <c r="R283" s="27" t="str">
        <f aca="false">IF(G283=_xlfn.MINIFS($G$2:$G$361,$A$2:$A$361,$A283),"BEST","")</f>
        <v/>
      </c>
    </row>
    <row r="284" customFormat="false" ht="15" hidden="false" customHeight="false" outlineLevel="0" collapsed="false">
      <c r="A284" s="22" t="s">
        <v>51</v>
      </c>
      <c r="B284" s="22" t="s">
        <v>116</v>
      </c>
      <c r="C284" s="22" t="s">
        <v>72</v>
      </c>
      <c r="D284" s="22" t="s">
        <v>93</v>
      </c>
      <c r="E284" s="23" t="s">
        <v>94</v>
      </c>
      <c r="F284" s="23" t="n">
        <v>2</v>
      </c>
      <c r="G284" s="25" t="n">
        <v>0.0421636344532953</v>
      </c>
      <c r="H284" s="25" t="n">
        <v>0.00979947491322839</v>
      </c>
      <c r="I284" s="25" t="n">
        <v>0.00785023183250107</v>
      </c>
      <c r="J284" s="24" t="n">
        <v>0.998222227929689</v>
      </c>
      <c r="K284" s="30" t="n">
        <v>2.61057012814139</v>
      </c>
      <c r="L284" s="25" t="n">
        <v>0.0303953779060996</v>
      </c>
      <c r="M284" s="23" t="n">
        <v>16</v>
      </c>
      <c r="N284" s="23" t="n">
        <v>17</v>
      </c>
      <c r="O284" s="23" t="n">
        <v>5</v>
      </c>
      <c r="P284" s="23" t="n">
        <v>799</v>
      </c>
      <c r="Q284" s="23" t="n">
        <v>299</v>
      </c>
      <c r="R284" s="27" t="str">
        <f aca="false">IF(G284=_xlfn.MINIFS($G$2:$G$361,$A$2:$A$361,$A284),"BEST","")</f>
        <v/>
      </c>
    </row>
    <row r="285" customFormat="false" ht="15" hidden="false" customHeight="false" outlineLevel="0" collapsed="false">
      <c r="A285" s="22" t="s">
        <v>51</v>
      </c>
      <c r="B285" s="22" t="s">
        <v>116</v>
      </c>
      <c r="C285" s="22" t="s">
        <v>72</v>
      </c>
      <c r="D285" s="22" t="s">
        <v>93</v>
      </c>
      <c r="E285" s="23" t="s">
        <v>94</v>
      </c>
      <c r="F285" s="23" t="n">
        <v>1</v>
      </c>
      <c r="G285" s="25" t="n">
        <v>0.0441891492219606</v>
      </c>
      <c r="H285" s="25" t="n">
        <v>0.0102702355916964</v>
      </c>
      <c r="I285" s="25" t="n">
        <v>0.00712907641867414</v>
      </c>
      <c r="J285" s="24" t="n">
        <v>0.998047319091039</v>
      </c>
      <c r="K285" s="30" t="n">
        <v>2.7997637929846</v>
      </c>
      <c r="L285" s="25" t="n">
        <v>0.0430766491857086</v>
      </c>
      <c r="M285" s="23" t="n">
        <v>16</v>
      </c>
      <c r="N285" s="23" t="n">
        <v>17</v>
      </c>
      <c r="O285" s="23" t="n">
        <v>5</v>
      </c>
      <c r="P285" s="23" t="n">
        <v>799</v>
      </c>
      <c r="Q285" s="23" t="n">
        <v>299</v>
      </c>
      <c r="R285" s="27" t="str">
        <f aca="false">IF(G285=_xlfn.MINIFS($G$2:$G$361,$A$2:$A$361,$A285),"BEST","")</f>
        <v/>
      </c>
    </row>
    <row r="286" customFormat="false" ht="15" hidden="false" customHeight="false" outlineLevel="0" collapsed="false">
      <c r="A286" s="22" t="s">
        <v>51</v>
      </c>
      <c r="B286" s="22" t="s">
        <v>116</v>
      </c>
      <c r="C286" s="22" t="s">
        <v>72</v>
      </c>
      <c r="D286" s="22" t="s">
        <v>93</v>
      </c>
      <c r="E286" s="23" t="s">
        <v>94</v>
      </c>
      <c r="F286" s="23" t="n">
        <v>4</v>
      </c>
      <c r="G286" s="25" t="n">
        <v>0.0484989489522322</v>
      </c>
      <c r="H286" s="25" t="n">
        <v>0.0112718991077915</v>
      </c>
      <c r="I286" s="25" t="n">
        <v>0.00825927542189366</v>
      </c>
      <c r="J286" s="24" t="n">
        <v>0.997647851950529</v>
      </c>
      <c r="K286" s="30" t="n">
        <v>2.79773956932784</v>
      </c>
      <c r="L286" s="25" t="n">
        <v>0.0375187094312979</v>
      </c>
      <c r="M286" s="23" t="n">
        <v>16</v>
      </c>
      <c r="N286" s="23" t="n">
        <v>17</v>
      </c>
      <c r="O286" s="23" t="n">
        <v>5</v>
      </c>
      <c r="P286" s="23" t="n">
        <v>799</v>
      </c>
      <c r="Q286" s="23" t="n">
        <v>299</v>
      </c>
      <c r="R286" s="27" t="str">
        <f aca="false">IF(G286=_xlfn.MINIFS($G$2:$G$361,$A$2:$A$361,$A286),"BEST","")</f>
        <v/>
      </c>
    </row>
    <row r="287" customFormat="false" ht="15" hidden="false" customHeight="false" outlineLevel="0" collapsed="false">
      <c r="A287" s="16" t="s">
        <v>51</v>
      </c>
      <c r="B287" s="16" t="s">
        <v>109</v>
      </c>
      <c r="C287" s="16" t="s">
        <v>68</v>
      </c>
      <c r="D287" s="16" t="s">
        <v>107</v>
      </c>
      <c r="E287" s="17" t="s">
        <v>108</v>
      </c>
      <c r="F287" s="17" t="n">
        <v>4</v>
      </c>
      <c r="G287" s="19" t="n">
        <v>0.0493780635784966</v>
      </c>
      <c r="H287" s="19" t="n">
        <v>0.011476218821631</v>
      </c>
      <c r="I287" s="19" t="n">
        <v>0.00891034454565999</v>
      </c>
      <c r="J287" s="18" t="n">
        <v>0.997561806837238</v>
      </c>
      <c r="K287" s="29" t="n">
        <v>1.90728038275813</v>
      </c>
      <c r="L287" s="19" t="n">
        <v>0.0294238595630316</v>
      </c>
      <c r="M287" s="17" t="n">
        <v>8</v>
      </c>
      <c r="N287" s="17" t="n">
        <v>4801</v>
      </c>
      <c r="O287" s="17" t="n">
        <v>8</v>
      </c>
      <c r="P287" s="17" t="n">
        <v>640</v>
      </c>
      <c r="Q287" s="17" t="n">
        <v>299</v>
      </c>
      <c r="R287" s="27" t="str">
        <f aca="false">IF(G287=_xlfn.MINIFS($G$2:$G$361,$A$2:$A$361,$A287),"BEST","")</f>
        <v/>
      </c>
    </row>
    <row r="288" customFormat="false" ht="15" hidden="false" customHeight="false" outlineLevel="0" collapsed="false">
      <c r="A288" s="16" t="s">
        <v>51</v>
      </c>
      <c r="B288" s="17" t="s">
        <v>102</v>
      </c>
      <c r="C288" s="16" t="s">
        <v>68</v>
      </c>
      <c r="D288" s="16" t="s">
        <v>98</v>
      </c>
      <c r="E288" s="17" t="s">
        <v>99</v>
      </c>
      <c r="F288" s="17" t="n">
        <v>0</v>
      </c>
      <c r="G288" s="19" t="n">
        <v>0.0503342807250581</v>
      </c>
      <c r="H288" s="19" t="n">
        <v>0.0116984583429822</v>
      </c>
      <c r="I288" s="19" t="n">
        <v>0.00909449397065342</v>
      </c>
      <c r="J288" s="18" t="n">
        <v>0.997466460183891</v>
      </c>
      <c r="K288" s="29" t="n">
        <v>2.19711330761354</v>
      </c>
      <c r="L288" s="19" t="n">
        <v>0.0395554360823972</v>
      </c>
      <c r="M288" s="17" t="n">
        <v>4</v>
      </c>
      <c r="N288" s="17"/>
      <c r="O288" s="17" t="n">
        <v>4</v>
      </c>
      <c r="P288" s="17" t="n">
        <v>799</v>
      </c>
      <c r="Q288" s="17" t="n">
        <v>299</v>
      </c>
      <c r="R288" s="27" t="str">
        <f aca="false">IF(G288=_xlfn.MINIFS($G$2:$G$361,$A$2:$A$361,$A288),"BEST","")</f>
        <v/>
      </c>
    </row>
    <row r="289" customFormat="false" ht="15" hidden="false" customHeight="false" outlineLevel="0" collapsed="false">
      <c r="A289" s="16" t="s">
        <v>51</v>
      </c>
      <c r="B289" s="17" t="s">
        <v>102</v>
      </c>
      <c r="C289" s="16" t="s">
        <v>68</v>
      </c>
      <c r="D289" s="16" t="s">
        <v>98</v>
      </c>
      <c r="E289" s="17" t="s">
        <v>99</v>
      </c>
      <c r="F289" s="17" t="n">
        <v>1</v>
      </c>
      <c r="G289" s="19" t="n">
        <v>0.0503342807250581</v>
      </c>
      <c r="H289" s="19" t="n">
        <v>0.0116984583429822</v>
      </c>
      <c r="I289" s="19" t="n">
        <v>0.00909449397065342</v>
      </c>
      <c r="J289" s="18" t="n">
        <v>0.997466460183891</v>
      </c>
      <c r="K289" s="29" t="n">
        <v>2.19711330761354</v>
      </c>
      <c r="L289" s="19" t="n">
        <v>0.0395554360823972</v>
      </c>
      <c r="M289" s="17" t="n">
        <v>4</v>
      </c>
      <c r="N289" s="17"/>
      <c r="O289" s="17" t="n">
        <v>4</v>
      </c>
      <c r="P289" s="17" t="n">
        <v>799</v>
      </c>
      <c r="Q289" s="17" t="n">
        <v>299</v>
      </c>
      <c r="R289" s="27" t="str">
        <f aca="false">IF(G289=_xlfn.MINIFS($G$2:$G$361,$A$2:$A$361,$A289),"BEST","")</f>
        <v/>
      </c>
    </row>
    <row r="290" customFormat="false" ht="15" hidden="false" customHeight="false" outlineLevel="0" collapsed="false">
      <c r="A290" s="16" t="s">
        <v>51</v>
      </c>
      <c r="B290" s="17" t="s">
        <v>102</v>
      </c>
      <c r="C290" s="16" t="s">
        <v>68</v>
      </c>
      <c r="D290" s="16" t="s">
        <v>98</v>
      </c>
      <c r="E290" s="17" t="s">
        <v>99</v>
      </c>
      <c r="F290" s="17" t="n">
        <v>2</v>
      </c>
      <c r="G290" s="19" t="n">
        <v>0.0503342807250581</v>
      </c>
      <c r="H290" s="19" t="n">
        <v>0.0116984583429822</v>
      </c>
      <c r="I290" s="19" t="n">
        <v>0.00909449397065342</v>
      </c>
      <c r="J290" s="18" t="n">
        <v>0.997466460183891</v>
      </c>
      <c r="K290" s="29" t="n">
        <v>2.19711330761354</v>
      </c>
      <c r="L290" s="19" t="n">
        <v>0.0395554360823972</v>
      </c>
      <c r="M290" s="17" t="n">
        <v>4</v>
      </c>
      <c r="N290" s="17"/>
      <c r="O290" s="17" t="n">
        <v>4</v>
      </c>
      <c r="P290" s="17" t="n">
        <v>799</v>
      </c>
      <c r="Q290" s="17" t="n">
        <v>299</v>
      </c>
      <c r="R290" s="27" t="str">
        <f aca="false">IF(G290=_xlfn.MINIFS($G$2:$G$361,$A$2:$A$361,$A290),"BEST","")</f>
        <v/>
      </c>
    </row>
    <row r="291" customFormat="false" ht="15" hidden="false" customHeight="false" outlineLevel="0" collapsed="false">
      <c r="A291" s="16" t="s">
        <v>51</v>
      </c>
      <c r="B291" s="17" t="s">
        <v>102</v>
      </c>
      <c r="C291" s="16" t="s">
        <v>68</v>
      </c>
      <c r="D291" s="16" t="s">
        <v>98</v>
      </c>
      <c r="E291" s="17" t="s">
        <v>99</v>
      </c>
      <c r="F291" s="17" t="n">
        <v>3</v>
      </c>
      <c r="G291" s="19" t="n">
        <v>0.0503342807250581</v>
      </c>
      <c r="H291" s="19" t="n">
        <v>0.0116984583429822</v>
      </c>
      <c r="I291" s="19" t="n">
        <v>0.00909449397065342</v>
      </c>
      <c r="J291" s="18" t="n">
        <v>0.997466460183891</v>
      </c>
      <c r="K291" s="29" t="n">
        <v>2.19711330761354</v>
      </c>
      <c r="L291" s="19" t="n">
        <v>0.0395554360823972</v>
      </c>
      <c r="M291" s="17" t="n">
        <v>4</v>
      </c>
      <c r="N291" s="17"/>
      <c r="O291" s="17" t="n">
        <v>4</v>
      </c>
      <c r="P291" s="17" t="n">
        <v>799</v>
      </c>
      <c r="Q291" s="17" t="n">
        <v>299</v>
      </c>
      <c r="R291" s="27" t="str">
        <f aca="false">IF(G291=_xlfn.MINIFS($G$2:$G$361,$A$2:$A$361,$A291),"BEST","")</f>
        <v/>
      </c>
    </row>
    <row r="292" customFormat="false" ht="15" hidden="false" customHeight="false" outlineLevel="0" collapsed="false">
      <c r="A292" s="16" t="s">
        <v>51</v>
      </c>
      <c r="B292" s="17" t="s">
        <v>102</v>
      </c>
      <c r="C292" s="16" t="s">
        <v>68</v>
      </c>
      <c r="D292" s="16" t="s">
        <v>98</v>
      </c>
      <c r="E292" s="17" t="s">
        <v>99</v>
      </c>
      <c r="F292" s="17" t="n">
        <v>4</v>
      </c>
      <c r="G292" s="19" t="n">
        <v>0.0503342807250581</v>
      </c>
      <c r="H292" s="19" t="n">
        <v>0.0116984583429822</v>
      </c>
      <c r="I292" s="19" t="n">
        <v>0.00909449397065342</v>
      </c>
      <c r="J292" s="18" t="n">
        <v>0.997466460183891</v>
      </c>
      <c r="K292" s="29" t="n">
        <v>2.19711330761354</v>
      </c>
      <c r="L292" s="19" t="n">
        <v>0.0395554360823972</v>
      </c>
      <c r="M292" s="17" t="n">
        <v>4</v>
      </c>
      <c r="N292" s="17"/>
      <c r="O292" s="17" t="n">
        <v>4</v>
      </c>
      <c r="P292" s="17" t="n">
        <v>799</v>
      </c>
      <c r="Q292" s="17" t="n">
        <v>299</v>
      </c>
      <c r="R292" s="27" t="str">
        <f aca="false">IF(G292=_xlfn.MINIFS($G$2:$G$361,$A$2:$A$361,$A292),"BEST","")</f>
        <v/>
      </c>
    </row>
    <row r="293" customFormat="false" ht="15" hidden="false" customHeight="false" outlineLevel="0" collapsed="false">
      <c r="A293" s="16" t="s">
        <v>51</v>
      </c>
      <c r="B293" s="16" t="s">
        <v>97</v>
      </c>
      <c r="C293" s="16" t="s">
        <v>68</v>
      </c>
      <c r="D293" s="16" t="s">
        <v>98</v>
      </c>
      <c r="E293" s="17" t="s">
        <v>99</v>
      </c>
      <c r="F293" s="17" t="n">
        <v>3</v>
      </c>
      <c r="G293" s="19" t="n">
        <v>0.0520857500450549</v>
      </c>
      <c r="H293" s="19" t="n">
        <v>0.0121055266587273</v>
      </c>
      <c r="I293" s="19" t="n">
        <v>0.00947824555347492</v>
      </c>
      <c r="J293" s="18" t="n">
        <v>0.997287074642244</v>
      </c>
      <c r="K293" s="29" t="n">
        <v>2.43048216128845</v>
      </c>
      <c r="L293" s="19" t="n">
        <v>0.0406575076466865</v>
      </c>
      <c r="M293" s="17" t="n">
        <v>4</v>
      </c>
      <c r="N293" s="17"/>
      <c r="O293" s="17" t="n">
        <v>4</v>
      </c>
      <c r="P293" s="17" t="n">
        <v>799</v>
      </c>
      <c r="Q293" s="17" t="n">
        <v>299</v>
      </c>
      <c r="R293" s="27" t="str">
        <f aca="false">IF(G293=_xlfn.MINIFS($G$2:$G$361,$A$2:$A$361,$A293),"BEST","")</f>
        <v/>
      </c>
    </row>
    <row r="294" customFormat="false" ht="15" hidden="false" customHeight="false" outlineLevel="0" collapsed="false">
      <c r="A294" s="16" t="s">
        <v>51</v>
      </c>
      <c r="B294" s="16" t="s">
        <v>97</v>
      </c>
      <c r="C294" s="16" t="s">
        <v>68</v>
      </c>
      <c r="D294" s="16" t="s">
        <v>98</v>
      </c>
      <c r="E294" s="17" t="s">
        <v>99</v>
      </c>
      <c r="F294" s="17" t="n">
        <v>4</v>
      </c>
      <c r="G294" s="19" t="n">
        <v>0.0522064518482518</v>
      </c>
      <c r="H294" s="19" t="n">
        <v>0.0121335796078563</v>
      </c>
      <c r="I294" s="19" t="n">
        <v>0.00943232818599439</v>
      </c>
      <c r="J294" s="18" t="n">
        <v>0.997274486385416</v>
      </c>
      <c r="K294" s="29" t="n">
        <v>2.31448751205571</v>
      </c>
      <c r="L294" s="19" t="n">
        <v>0.0376863152526769</v>
      </c>
      <c r="M294" s="17" t="n">
        <v>4</v>
      </c>
      <c r="N294" s="17"/>
      <c r="O294" s="17" t="n">
        <v>4</v>
      </c>
      <c r="P294" s="17" t="n">
        <v>799</v>
      </c>
      <c r="Q294" s="17" t="n">
        <v>299</v>
      </c>
      <c r="R294" s="27" t="str">
        <f aca="false">IF(G294=_xlfn.MINIFS($G$2:$G$361,$A$2:$A$361,$A294),"BEST","")</f>
        <v/>
      </c>
    </row>
    <row r="295" customFormat="false" ht="15" hidden="false" customHeight="false" outlineLevel="0" collapsed="false">
      <c r="A295" s="16" t="s">
        <v>51</v>
      </c>
      <c r="B295" s="16" t="s">
        <v>97</v>
      </c>
      <c r="C295" s="16" t="s">
        <v>68</v>
      </c>
      <c r="D295" s="16" t="s">
        <v>98</v>
      </c>
      <c r="E295" s="17" t="s">
        <v>99</v>
      </c>
      <c r="F295" s="17" t="n">
        <v>2</v>
      </c>
      <c r="G295" s="19" t="n">
        <v>0.0522137053476021</v>
      </c>
      <c r="H295" s="19" t="n">
        <v>0.0121352654322838</v>
      </c>
      <c r="I295" s="19" t="n">
        <v>0.00944776709663467</v>
      </c>
      <c r="J295" s="18" t="n">
        <v>0.997273728973874</v>
      </c>
      <c r="K295" s="29" t="n">
        <v>2.28987357911971</v>
      </c>
      <c r="L295" s="19" t="n">
        <v>0.0393628509636665</v>
      </c>
      <c r="M295" s="17" t="n">
        <v>4</v>
      </c>
      <c r="N295" s="17"/>
      <c r="O295" s="17" t="n">
        <v>4</v>
      </c>
      <c r="P295" s="17" t="n">
        <v>799</v>
      </c>
      <c r="Q295" s="17" t="n">
        <v>299</v>
      </c>
      <c r="R295" s="27" t="str">
        <f aca="false">IF(G295=_xlfn.MINIFS($G$2:$G$361,$A$2:$A$361,$A295),"BEST","")</f>
        <v/>
      </c>
    </row>
    <row r="296" customFormat="false" ht="15" hidden="false" customHeight="false" outlineLevel="0" collapsed="false">
      <c r="A296" s="16" t="s">
        <v>51</v>
      </c>
      <c r="B296" s="16" t="s">
        <v>97</v>
      </c>
      <c r="C296" s="16" t="s">
        <v>68</v>
      </c>
      <c r="D296" s="16" t="s">
        <v>98</v>
      </c>
      <c r="E296" s="17" t="s">
        <v>99</v>
      </c>
      <c r="F296" s="17" t="n">
        <v>0</v>
      </c>
      <c r="G296" s="19" t="n">
        <v>0.0525561102032258</v>
      </c>
      <c r="H296" s="19" t="n">
        <v>0.012214845568967</v>
      </c>
      <c r="I296" s="19" t="n">
        <v>0.00953120295046742</v>
      </c>
      <c r="J296" s="18" t="n">
        <v>0.997237855280306</v>
      </c>
      <c r="K296" s="29" t="n">
        <v>2.39006414152251</v>
      </c>
      <c r="L296" s="19" t="n">
        <v>0.0385716592232942</v>
      </c>
      <c r="M296" s="17" t="n">
        <v>4</v>
      </c>
      <c r="N296" s="17"/>
      <c r="O296" s="17" t="n">
        <v>4</v>
      </c>
      <c r="P296" s="17" t="n">
        <v>799</v>
      </c>
      <c r="Q296" s="17" t="n">
        <v>299</v>
      </c>
      <c r="R296" s="27" t="str">
        <f aca="false">IF(G296=_xlfn.MINIFS($G$2:$G$361,$A$2:$A$361,$A296),"BEST","")</f>
        <v/>
      </c>
    </row>
    <row r="297" customFormat="false" ht="15" hidden="false" customHeight="false" outlineLevel="0" collapsed="false">
      <c r="A297" s="16" t="s">
        <v>51</v>
      </c>
      <c r="B297" s="16" t="s">
        <v>97</v>
      </c>
      <c r="C297" s="16" t="s">
        <v>68</v>
      </c>
      <c r="D297" s="16" t="s">
        <v>98</v>
      </c>
      <c r="E297" s="17" t="s">
        <v>99</v>
      </c>
      <c r="F297" s="17" t="n">
        <v>1</v>
      </c>
      <c r="G297" s="19" t="n">
        <v>0.0526750123377457</v>
      </c>
      <c r="H297" s="19" t="n">
        <v>0.0122424802475109</v>
      </c>
      <c r="I297" s="19" t="n">
        <v>0.00954178315165065</v>
      </c>
      <c r="J297" s="18" t="n">
        <v>0.997225343075218</v>
      </c>
      <c r="K297" s="29" t="n">
        <v>2.37228873459852</v>
      </c>
      <c r="L297" s="19" t="n">
        <v>0.0382314356955206</v>
      </c>
      <c r="M297" s="17" t="n">
        <v>4</v>
      </c>
      <c r="N297" s="17"/>
      <c r="O297" s="17" t="n">
        <v>4</v>
      </c>
      <c r="P297" s="17" t="n">
        <v>799</v>
      </c>
      <c r="Q297" s="17" t="n">
        <v>299</v>
      </c>
      <c r="R297" s="27" t="str">
        <f aca="false">IF(G297=_xlfn.MINIFS($G$2:$G$361,$A$2:$A$361,$A297),"BEST","")</f>
        <v/>
      </c>
    </row>
    <row r="298" customFormat="false" ht="15" hidden="false" customHeight="false" outlineLevel="0" collapsed="false">
      <c r="A298" s="16" t="s">
        <v>51</v>
      </c>
      <c r="B298" s="16" t="s">
        <v>101</v>
      </c>
      <c r="C298" s="16" t="s">
        <v>68</v>
      </c>
      <c r="D298" s="16" t="s">
        <v>98</v>
      </c>
      <c r="E298" s="17" t="s">
        <v>99</v>
      </c>
      <c r="F298" s="17" t="n">
        <v>0</v>
      </c>
      <c r="G298" s="19" t="n">
        <v>0.053033056467754</v>
      </c>
      <c r="H298" s="19" t="n">
        <v>0.0123256951912732</v>
      </c>
      <c r="I298" s="19" t="n">
        <v>0.00943258337702917</v>
      </c>
      <c r="J298" s="18" t="n">
        <v>0.997187494921688</v>
      </c>
      <c r="K298" s="29" t="n">
        <v>2.2529045129662</v>
      </c>
      <c r="L298" s="19" t="n">
        <v>0.0438651775521267</v>
      </c>
      <c r="M298" s="17" t="n">
        <v>4</v>
      </c>
      <c r="N298" s="17"/>
      <c r="O298" s="17" t="n">
        <v>4</v>
      </c>
      <c r="P298" s="17" t="n">
        <v>799</v>
      </c>
      <c r="Q298" s="17" t="n">
        <v>299</v>
      </c>
      <c r="R298" s="27" t="str">
        <f aca="false">IF(G298=_xlfn.MINIFS($G$2:$G$361,$A$2:$A$361,$A298),"BEST","")</f>
        <v/>
      </c>
    </row>
    <row r="299" customFormat="false" ht="15" hidden="false" customHeight="false" outlineLevel="0" collapsed="false">
      <c r="A299" s="16" t="s">
        <v>51</v>
      </c>
      <c r="B299" s="16" t="s">
        <v>101</v>
      </c>
      <c r="C299" s="16" t="s">
        <v>68</v>
      </c>
      <c r="D299" s="16" t="s">
        <v>98</v>
      </c>
      <c r="E299" s="17" t="s">
        <v>99</v>
      </c>
      <c r="F299" s="17" t="n">
        <v>1</v>
      </c>
      <c r="G299" s="19" t="n">
        <v>0.053033056467754</v>
      </c>
      <c r="H299" s="19" t="n">
        <v>0.0123256951912732</v>
      </c>
      <c r="I299" s="19" t="n">
        <v>0.00943258337702917</v>
      </c>
      <c r="J299" s="18" t="n">
        <v>0.997187494921688</v>
      </c>
      <c r="K299" s="29" t="n">
        <v>2.2529045129662</v>
      </c>
      <c r="L299" s="19" t="n">
        <v>0.0438651775521267</v>
      </c>
      <c r="M299" s="17" t="n">
        <v>4</v>
      </c>
      <c r="N299" s="17"/>
      <c r="O299" s="17" t="n">
        <v>4</v>
      </c>
      <c r="P299" s="17" t="n">
        <v>799</v>
      </c>
      <c r="Q299" s="17" t="n">
        <v>299</v>
      </c>
      <c r="R299" s="27" t="str">
        <f aca="false">IF(G299=_xlfn.MINIFS($G$2:$G$361,$A$2:$A$361,$A299),"BEST","")</f>
        <v/>
      </c>
    </row>
    <row r="300" customFormat="false" ht="15" hidden="false" customHeight="false" outlineLevel="0" collapsed="false">
      <c r="A300" s="16" t="s">
        <v>51</v>
      </c>
      <c r="B300" s="16" t="s">
        <v>101</v>
      </c>
      <c r="C300" s="16" t="s">
        <v>68</v>
      </c>
      <c r="D300" s="16" t="s">
        <v>98</v>
      </c>
      <c r="E300" s="17" t="s">
        <v>99</v>
      </c>
      <c r="F300" s="17" t="n">
        <v>2</v>
      </c>
      <c r="G300" s="19" t="n">
        <v>0.053033056467754</v>
      </c>
      <c r="H300" s="19" t="n">
        <v>0.0123256951912732</v>
      </c>
      <c r="I300" s="19" t="n">
        <v>0.00943258337702917</v>
      </c>
      <c r="J300" s="18" t="n">
        <v>0.997187494921688</v>
      </c>
      <c r="K300" s="29" t="n">
        <v>2.2529045129662</v>
      </c>
      <c r="L300" s="19" t="n">
        <v>0.0438651775521267</v>
      </c>
      <c r="M300" s="17" t="n">
        <v>4</v>
      </c>
      <c r="N300" s="17"/>
      <c r="O300" s="17" t="n">
        <v>4</v>
      </c>
      <c r="P300" s="17" t="n">
        <v>799</v>
      </c>
      <c r="Q300" s="17" t="n">
        <v>299</v>
      </c>
      <c r="R300" s="27" t="str">
        <f aca="false">IF(G300=_xlfn.MINIFS($G$2:$G$361,$A$2:$A$361,$A300),"BEST","")</f>
        <v/>
      </c>
    </row>
    <row r="301" customFormat="false" ht="15" hidden="false" customHeight="false" outlineLevel="0" collapsed="false">
      <c r="A301" s="16" t="s">
        <v>51</v>
      </c>
      <c r="B301" s="16" t="s">
        <v>101</v>
      </c>
      <c r="C301" s="16" t="s">
        <v>68</v>
      </c>
      <c r="D301" s="16" t="s">
        <v>98</v>
      </c>
      <c r="E301" s="17" t="s">
        <v>99</v>
      </c>
      <c r="F301" s="17" t="n">
        <v>3</v>
      </c>
      <c r="G301" s="19" t="n">
        <v>0.053033056467754</v>
      </c>
      <c r="H301" s="19" t="n">
        <v>0.0123256951912732</v>
      </c>
      <c r="I301" s="19" t="n">
        <v>0.00943258337702917</v>
      </c>
      <c r="J301" s="18" t="n">
        <v>0.997187494921688</v>
      </c>
      <c r="K301" s="29" t="n">
        <v>2.2529045129662</v>
      </c>
      <c r="L301" s="19" t="n">
        <v>0.0438651775521267</v>
      </c>
      <c r="M301" s="17" t="n">
        <v>4</v>
      </c>
      <c r="N301" s="17"/>
      <c r="O301" s="17" t="n">
        <v>4</v>
      </c>
      <c r="P301" s="17" t="n">
        <v>799</v>
      </c>
      <c r="Q301" s="17" t="n">
        <v>299</v>
      </c>
      <c r="R301" s="27" t="str">
        <f aca="false">IF(G301=_xlfn.MINIFS($G$2:$G$361,$A$2:$A$361,$A301),"BEST","")</f>
        <v/>
      </c>
    </row>
    <row r="302" customFormat="false" ht="15" hidden="false" customHeight="false" outlineLevel="0" collapsed="false">
      <c r="A302" s="16" t="s">
        <v>51</v>
      </c>
      <c r="B302" s="16" t="s">
        <v>101</v>
      </c>
      <c r="C302" s="16" t="s">
        <v>68</v>
      </c>
      <c r="D302" s="16" t="s">
        <v>98</v>
      </c>
      <c r="E302" s="17" t="s">
        <v>99</v>
      </c>
      <c r="F302" s="17" t="n">
        <v>4</v>
      </c>
      <c r="G302" s="19" t="n">
        <v>0.053033056467754</v>
      </c>
      <c r="H302" s="19" t="n">
        <v>0.0123256951912732</v>
      </c>
      <c r="I302" s="19" t="n">
        <v>0.00943258337702917</v>
      </c>
      <c r="J302" s="18" t="n">
        <v>0.997187494921688</v>
      </c>
      <c r="K302" s="29" t="n">
        <v>2.2529045129662</v>
      </c>
      <c r="L302" s="19" t="n">
        <v>0.0438651775521267</v>
      </c>
      <c r="M302" s="17" t="n">
        <v>4</v>
      </c>
      <c r="N302" s="17"/>
      <c r="O302" s="17" t="n">
        <v>4</v>
      </c>
      <c r="P302" s="17" t="n">
        <v>799</v>
      </c>
      <c r="Q302" s="17" t="n">
        <v>299</v>
      </c>
      <c r="R302" s="27" t="str">
        <f aca="false">IF(G302=_xlfn.MINIFS($G$2:$G$361,$A$2:$A$361,$A302),"BEST","")</f>
        <v/>
      </c>
    </row>
    <row r="303" customFormat="false" ht="15" hidden="false" customHeight="false" outlineLevel="0" collapsed="false">
      <c r="A303" s="16" t="s">
        <v>51</v>
      </c>
      <c r="B303" s="16" t="s">
        <v>109</v>
      </c>
      <c r="C303" s="16" t="s">
        <v>68</v>
      </c>
      <c r="D303" s="16" t="s">
        <v>107</v>
      </c>
      <c r="E303" s="17" t="s">
        <v>108</v>
      </c>
      <c r="F303" s="17" t="n">
        <v>0</v>
      </c>
      <c r="G303" s="19" t="n">
        <v>0.0535177635741508</v>
      </c>
      <c r="H303" s="19" t="n">
        <v>0.0124383485521844</v>
      </c>
      <c r="I303" s="19" t="n">
        <v>0.00996436568227696</v>
      </c>
      <c r="J303" s="18" t="n">
        <v>0.997135848982021</v>
      </c>
      <c r="K303" s="29" t="n">
        <v>2.16354604942747</v>
      </c>
      <c r="L303" s="19" t="n">
        <v>0.0340886281582823</v>
      </c>
      <c r="M303" s="17" t="n">
        <v>8</v>
      </c>
      <c r="N303" s="17" t="n">
        <v>4801</v>
      </c>
      <c r="O303" s="17" t="n">
        <v>8</v>
      </c>
      <c r="P303" s="17" t="n">
        <v>640</v>
      </c>
      <c r="Q303" s="17" t="n">
        <v>299</v>
      </c>
      <c r="R303" s="27" t="str">
        <f aca="false">IF(G303=_xlfn.MINIFS($G$2:$G$361,$A$2:$A$361,$A303),"BEST","")</f>
        <v/>
      </c>
    </row>
    <row r="304" customFormat="false" ht="15" hidden="false" customHeight="false" outlineLevel="0" collapsed="false">
      <c r="A304" s="16" t="s">
        <v>51</v>
      </c>
      <c r="B304" s="16" t="s">
        <v>100</v>
      </c>
      <c r="C304" s="16" t="s">
        <v>68</v>
      </c>
      <c r="D304" s="16" t="s">
        <v>98</v>
      </c>
      <c r="E304" s="17" t="s">
        <v>99</v>
      </c>
      <c r="F304" s="17" t="n">
        <v>2</v>
      </c>
      <c r="G304" s="19" t="n">
        <v>0.055583749527937</v>
      </c>
      <c r="H304" s="19" t="n">
        <v>0.0129185153543997</v>
      </c>
      <c r="I304" s="19" t="n">
        <v>0.0100958597254467</v>
      </c>
      <c r="J304" s="18" t="n">
        <v>0.996910446788416</v>
      </c>
      <c r="K304" s="29" t="n">
        <v>2.82034218727769</v>
      </c>
      <c r="L304" s="19" t="n">
        <v>0.0410031782848577</v>
      </c>
      <c r="M304" s="17" t="n">
        <v>4</v>
      </c>
      <c r="N304" s="17"/>
      <c r="O304" s="17" t="n">
        <v>4</v>
      </c>
      <c r="P304" s="17" t="n">
        <v>799</v>
      </c>
      <c r="Q304" s="17" t="n">
        <v>299</v>
      </c>
      <c r="R304" s="27" t="str">
        <f aca="false">IF(G304=_xlfn.MINIFS($G$2:$G$361,$A$2:$A$361,$A304),"BEST","")</f>
        <v/>
      </c>
    </row>
    <row r="305" customFormat="false" ht="15" hidden="false" customHeight="false" outlineLevel="0" collapsed="false">
      <c r="A305" s="16" t="s">
        <v>51</v>
      </c>
      <c r="B305" s="16" t="s">
        <v>100</v>
      </c>
      <c r="C305" s="16" t="s">
        <v>68</v>
      </c>
      <c r="D305" s="16" t="s">
        <v>98</v>
      </c>
      <c r="E305" s="17" t="s">
        <v>99</v>
      </c>
      <c r="F305" s="17" t="n">
        <v>1</v>
      </c>
      <c r="G305" s="19" t="n">
        <v>0.0559653725117185</v>
      </c>
      <c r="H305" s="19" t="n">
        <v>0.0130072103851855</v>
      </c>
      <c r="I305" s="19" t="n">
        <v>0.010096271136484</v>
      </c>
      <c r="J305" s="18" t="n">
        <v>0.996867877079625</v>
      </c>
      <c r="K305" s="29" t="n">
        <v>2.79086834115152</v>
      </c>
      <c r="L305" s="19" t="n">
        <v>0.0459378915292959</v>
      </c>
      <c r="M305" s="17" t="n">
        <v>4</v>
      </c>
      <c r="N305" s="17"/>
      <c r="O305" s="17" t="n">
        <v>4</v>
      </c>
      <c r="P305" s="17" t="n">
        <v>799</v>
      </c>
      <c r="Q305" s="17" t="n">
        <v>299</v>
      </c>
      <c r="R305" s="27" t="str">
        <f aca="false">IF(G305=_xlfn.MINIFS($G$2:$G$361,$A$2:$A$361,$A305),"BEST","")</f>
        <v/>
      </c>
    </row>
    <row r="306" customFormat="false" ht="15" hidden="false" customHeight="false" outlineLevel="0" collapsed="false">
      <c r="A306" s="16" t="s">
        <v>51</v>
      </c>
      <c r="B306" s="16" t="s">
        <v>100</v>
      </c>
      <c r="C306" s="16" t="s">
        <v>68</v>
      </c>
      <c r="D306" s="16" t="s">
        <v>98</v>
      </c>
      <c r="E306" s="17" t="s">
        <v>99</v>
      </c>
      <c r="F306" s="17" t="n">
        <v>3</v>
      </c>
      <c r="G306" s="19" t="n">
        <v>0.0563781461645951</v>
      </c>
      <c r="H306" s="19" t="n">
        <v>0.0131031453089333</v>
      </c>
      <c r="I306" s="19" t="n">
        <v>0.0101372673273832</v>
      </c>
      <c r="J306" s="18" t="n">
        <v>0.996821504635044</v>
      </c>
      <c r="K306" s="29" t="n">
        <v>2.82768138814077</v>
      </c>
      <c r="L306" s="19" t="n">
        <v>0.0457128541929464</v>
      </c>
      <c r="M306" s="17" t="n">
        <v>4</v>
      </c>
      <c r="N306" s="17"/>
      <c r="O306" s="17" t="n">
        <v>4</v>
      </c>
      <c r="P306" s="17" t="n">
        <v>799</v>
      </c>
      <c r="Q306" s="17" t="n">
        <v>299</v>
      </c>
      <c r="R306" s="27" t="str">
        <f aca="false">IF(G306=_xlfn.MINIFS($G$2:$G$361,$A$2:$A$361,$A306),"BEST","")</f>
        <v/>
      </c>
    </row>
    <row r="307" customFormat="false" ht="15" hidden="false" customHeight="false" outlineLevel="0" collapsed="false">
      <c r="A307" s="16" t="s">
        <v>51</v>
      </c>
      <c r="B307" s="16" t="s">
        <v>109</v>
      </c>
      <c r="C307" s="16" t="s">
        <v>68</v>
      </c>
      <c r="D307" s="16" t="s">
        <v>107</v>
      </c>
      <c r="E307" s="17" t="s">
        <v>108</v>
      </c>
      <c r="F307" s="17" t="n">
        <v>1</v>
      </c>
      <c r="G307" s="19" t="n">
        <v>0.0576364147384309</v>
      </c>
      <c r="H307" s="19" t="n">
        <v>0.013395586211699</v>
      </c>
      <c r="I307" s="19" t="n">
        <v>0.0107281579813305</v>
      </c>
      <c r="J307" s="18" t="n">
        <v>0.9966780436961</v>
      </c>
      <c r="K307" s="29" t="n">
        <v>2.26635746500994</v>
      </c>
      <c r="L307" s="19" t="n">
        <v>0.0347098689100016</v>
      </c>
      <c r="M307" s="17" t="n">
        <v>8</v>
      </c>
      <c r="N307" s="17" t="n">
        <v>4801</v>
      </c>
      <c r="O307" s="17" t="n">
        <v>8</v>
      </c>
      <c r="P307" s="17" t="n">
        <v>640</v>
      </c>
      <c r="Q307" s="17" t="n">
        <v>299</v>
      </c>
      <c r="R307" s="27" t="str">
        <f aca="false">IF(G307=_xlfn.MINIFS($G$2:$G$361,$A$2:$A$361,$A307),"BEST","")</f>
        <v/>
      </c>
    </row>
    <row r="308" customFormat="false" ht="15" hidden="false" customHeight="false" outlineLevel="0" collapsed="false">
      <c r="A308" s="16" t="s">
        <v>51</v>
      </c>
      <c r="B308" s="16" t="s">
        <v>106</v>
      </c>
      <c r="C308" s="16" t="s">
        <v>68</v>
      </c>
      <c r="D308" s="16" t="s">
        <v>107</v>
      </c>
      <c r="E308" s="17" t="s">
        <v>108</v>
      </c>
      <c r="F308" s="17" t="n">
        <v>4</v>
      </c>
      <c r="G308" s="19" t="n">
        <v>0.0582647399697699</v>
      </c>
      <c r="H308" s="19" t="n">
        <v>0.0135416186261645</v>
      </c>
      <c r="I308" s="19" t="n">
        <v>0.0111599882242155</v>
      </c>
      <c r="J308" s="18" t="n">
        <v>0.996605220076255</v>
      </c>
      <c r="K308" s="29" t="n">
        <v>2.54993532208395</v>
      </c>
      <c r="L308" s="19" t="n">
        <v>0.035481364904866</v>
      </c>
      <c r="M308" s="17" t="n">
        <v>8</v>
      </c>
      <c r="N308" s="17" t="n">
        <v>8897</v>
      </c>
      <c r="O308" s="17" t="n">
        <v>8</v>
      </c>
      <c r="P308" s="17" t="n">
        <v>640</v>
      </c>
      <c r="Q308" s="17" t="n">
        <v>299</v>
      </c>
      <c r="R308" s="27" t="str">
        <f aca="false">IF(G308=_xlfn.MINIFS($G$2:$G$361,$A$2:$A$361,$A308),"BEST","")</f>
        <v/>
      </c>
    </row>
    <row r="309" customFormat="false" ht="15" hidden="false" customHeight="false" outlineLevel="0" collapsed="false">
      <c r="A309" s="16" t="s">
        <v>51</v>
      </c>
      <c r="B309" s="16" t="s">
        <v>100</v>
      </c>
      <c r="C309" s="16" t="s">
        <v>68</v>
      </c>
      <c r="D309" s="16" t="s">
        <v>98</v>
      </c>
      <c r="E309" s="17" t="s">
        <v>99</v>
      </c>
      <c r="F309" s="17" t="n">
        <v>4</v>
      </c>
      <c r="G309" s="19" t="n">
        <v>0.0582701738676049</v>
      </c>
      <c r="H309" s="19" t="n">
        <v>0.0135428815473099</v>
      </c>
      <c r="I309" s="19" t="n">
        <v>0.0104625974904647</v>
      </c>
      <c r="J309" s="18" t="n">
        <v>0.996604586837439</v>
      </c>
      <c r="K309" s="29" t="n">
        <v>3.08225804395181</v>
      </c>
      <c r="L309" s="19" t="n">
        <v>0.0553422229749899</v>
      </c>
      <c r="M309" s="17" t="n">
        <v>4</v>
      </c>
      <c r="N309" s="17"/>
      <c r="O309" s="17" t="n">
        <v>4</v>
      </c>
      <c r="P309" s="17" t="n">
        <v>799</v>
      </c>
      <c r="Q309" s="17" t="n">
        <v>299</v>
      </c>
      <c r="R309" s="27" t="str">
        <f aca="false">IF(G309=_xlfn.MINIFS($G$2:$G$361,$A$2:$A$361,$A309),"BEST","")</f>
        <v/>
      </c>
    </row>
    <row r="310" customFormat="false" ht="15" hidden="false" customHeight="false" outlineLevel="0" collapsed="false">
      <c r="A310" s="16" t="s">
        <v>51</v>
      </c>
      <c r="B310" s="16" t="s">
        <v>100</v>
      </c>
      <c r="C310" s="16" t="s">
        <v>68</v>
      </c>
      <c r="D310" s="16" t="s">
        <v>98</v>
      </c>
      <c r="E310" s="17" t="s">
        <v>99</v>
      </c>
      <c r="F310" s="17" t="n">
        <v>0</v>
      </c>
      <c r="G310" s="19" t="n">
        <v>0.0585228332328274</v>
      </c>
      <c r="H310" s="19" t="n">
        <v>0.013601603456443</v>
      </c>
      <c r="I310" s="19" t="n">
        <v>0.0104058027180426</v>
      </c>
      <c r="J310" s="18" t="n">
        <v>0.996575077990403</v>
      </c>
      <c r="K310" s="29" t="n">
        <v>2.93726604716441</v>
      </c>
      <c r="L310" s="19" t="n">
        <v>0.048095579670165</v>
      </c>
      <c r="M310" s="17" t="n">
        <v>4</v>
      </c>
      <c r="N310" s="17"/>
      <c r="O310" s="17" t="n">
        <v>4</v>
      </c>
      <c r="P310" s="17" t="n">
        <v>799</v>
      </c>
      <c r="Q310" s="17" t="n">
        <v>299</v>
      </c>
      <c r="R310" s="27" t="str">
        <f aca="false">IF(G310=_xlfn.MINIFS($G$2:$G$361,$A$2:$A$361,$A310),"BEST","")</f>
        <v/>
      </c>
    </row>
    <row r="311" customFormat="false" ht="15" hidden="false" customHeight="false" outlineLevel="0" collapsed="false">
      <c r="A311" s="16" t="s">
        <v>51</v>
      </c>
      <c r="B311" s="16" t="s">
        <v>110</v>
      </c>
      <c r="C311" s="16" t="s">
        <v>68</v>
      </c>
      <c r="D311" s="16" t="s">
        <v>107</v>
      </c>
      <c r="E311" s="17" t="s">
        <v>108</v>
      </c>
      <c r="F311" s="17" t="n">
        <v>2</v>
      </c>
      <c r="G311" s="19" t="n">
        <v>0.062034770491869</v>
      </c>
      <c r="H311" s="19" t="n">
        <v>0.0144178315049271</v>
      </c>
      <c r="I311" s="19" t="n">
        <v>0.01205733290595</v>
      </c>
      <c r="J311" s="18" t="n">
        <v>0.996151687250021</v>
      </c>
      <c r="K311" s="29" t="n">
        <v>3.20095399125107</v>
      </c>
      <c r="L311" s="19" t="n">
        <v>0.0350697485241064</v>
      </c>
      <c r="M311" s="17" t="n">
        <v>8</v>
      </c>
      <c r="N311" s="17" t="n">
        <v>12673</v>
      </c>
      <c r="O311" s="17" t="n">
        <v>8</v>
      </c>
      <c r="P311" s="17" t="n">
        <v>640</v>
      </c>
      <c r="Q311" s="17" t="n">
        <v>299</v>
      </c>
      <c r="R311" s="27" t="str">
        <f aca="false">IF(G311=_xlfn.MINIFS($G$2:$G$361,$A$2:$A$361,$A311),"BEST","")</f>
        <v/>
      </c>
    </row>
    <row r="312" customFormat="false" ht="15" hidden="false" customHeight="false" outlineLevel="0" collapsed="false">
      <c r="A312" s="16" t="s">
        <v>51</v>
      </c>
      <c r="B312" s="16" t="s">
        <v>106</v>
      </c>
      <c r="C312" s="16" t="s">
        <v>68</v>
      </c>
      <c r="D312" s="16" t="s">
        <v>107</v>
      </c>
      <c r="E312" s="17" t="s">
        <v>108</v>
      </c>
      <c r="F312" s="17" t="n">
        <v>0</v>
      </c>
      <c r="G312" s="19" t="n">
        <v>0.0621595512465434</v>
      </c>
      <c r="H312" s="19" t="n">
        <v>0.0144468324648999</v>
      </c>
      <c r="I312" s="19" t="n">
        <v>0.0118873073944625</v>
      </c>
      <c r="J312" s="18" t="n">
        <v>0.996136190188828</v>
      </c>
      <c r="K312" s="29" t="n">
        <v>2.7436656148914</v>
      </c>
      <c r="L312" s="19" t="n">
        <v>0.0370363916718327</v>
      </c>
      <c r="M312" s="17" t="n">
        <v>8</v>
      </c>
      <c r="N312" s="17" t="n">
        <v>8897</v>
      </c>
      <c r="O312" s="17" t="n">
        <v>8</v>
      </c>
      <c r="P312" s="17" t="n">
        <v>640</v>
      </c>
      <c r="Q312" s="17" t="n">
        <v>299</v>
      </c>
      <c r="R312" s="27" t="str">
        <f aca="false">IF(G312=_xlfn.MINIFS($G$2:$G$361,$A$2:$A$361,$A312),"BEST","")</f>
        <v/>
      </c>
    </row>
    <row r="313" customFormat="false" ht="15" hidden="false" customHeight="false" outlineLevel="0" collapsed="false">
      <c r="A313" s="16" t="s">
        <v>51</v>
      </c>
      <c r="B313" s="16" t="s">
        <v>109</v>
      </c>
      <c r="C313" s="16" t="s">
        <v>68</v>
      </c>
      <c r="D313" s="16" t="s">
        <v>107</v>
      </c>
      <c r="E313" s="17" t="s">
        <v>108</v>
      </c>
      <c r="F313" s="17" t="n">
        <v>2</v>
      </c>
      <c r="G313" s="19" t="n">
        <v>0.0626616878679018</v>
      </c>
      <c r="H313" s="19" t="n">
        <v>0.0145635367122404</v>
      </c>
      <c r="I313" s="19" t="n">
        <v>0.011850720205319</v>
      </c>
      <c r="J313" s="18" t="n">
        <v>0.996073512873546</v>
      </c>
      <c r="K313" s="29" t="n">
        <v>2.77126248730598</v>
      </c>
      <c r="L313" s="19" t="n">
        <v>0.039258362785918</v>
      </c>
      <c r="M313" s="17" t="n">
        <v>8</v>
      </c>
      <c r="N313" s="17" t="n">
        <v>4801</v>
      </c>
      <c r="O313" s="17" t="n">
        <v>8</v>
      </c>
      <c r="P313" s="17" t="n">
        <v>640</v>
      </c>
      <c r="Q313" s="17" t="n">
        <v>299</v>
      </c>
      <c r="R313" s="27" t="str">
        <f aca="false">IF(G313=_xlfn.MINIFS($G$2:$G$361,$A$2:$A$361,$A313),"BEST","")</f>
        <v/>
      </c>
    </row>
    <row r="314" customFormat="false" ht="15" hidden="false" customHeight="false" outlineLevel="0" collapsed="false">
      <c r="A314" s="16" t="s">
        <v>51</v>
      </c>
      <c r="B314" s="16" t="s">
        <v>109</v>
      </c>
      <c r="C314" s="16" t="s">
        <v>68</v>
      </c>
      <c r="D314" s="16" t="s">
        <v>107</v>
      </c>
      <c r="E314" s="17" t="s">
        <v>108</v>
      </c>
      <c r="F314" s="17" t="n">
        <v>3</v>
      </c>
      <c r="G314" s="19" t="n">
        <v>0.063400174021704</v>
      </c>
      <c r="H314" s="19" t="n">
        <v>0.0147351722135862</v>
      </c>
      <c r="I314" s="19" t="n">
        <v>0.0114800048958995</v>
      </c>
      <c r="J314" s="18" t="n">
        <v>0.995980417934018</v>
      </c>
      <c r="K314" s="29" t="n">
        <v>2.90816856055287</v>
      </c>
      <c r="L314" s="19" t="n">
        <v>0.0386649351140727</v>
      </c>
      <c r="M314" s="17" t="n">
        <v>8</v>
      </c>
      <c r="N314" s="17" t="n">
        <v>4801</v>
      </c>
      <c r="O314" s="17" t="n">
        <v>8</v>
      </c>
      <c r="P314" s="17" t="n">
        <v>640</v>
      </c>
      <c r="Q314" s="17" t="n">
        <v>299</v>
      </c>
      <c r="R314" s="27" t="str">
        <f aca="false">IF(G314=_xlfn.MINIFS($G$2:$G$361,$A$2:$A$361,$A314),"BEST","")</f>
        <v/>
      </c>
    </row>
    <row r="315" customFormat="false" ht="15" hidden="false" customHeight="false" outlineLevel="0" collapsed="false">
      <c r="A315" s="16" t="s">
        <v>51</v>
      </c>
      <c r="B315" s="16" t="s">
        <v>106</v>
      </c>
      <c r="C315" s="16" t="s">
        <v>68</v>
      </c>
      <c r="D315" s="16" t="s">
        <v>107</v>
      </c>
      <c r="E315" s="17" t="s">
        <v>108</v>
      </c>
      <c r="F315" s="17" t="n">
        <v>2</v>
      </c>
      <c r="G315" s="19" t="n">
        <v>0.0643788479543899</v>
      </c>
      <c r="H315" s="19" t="n">
        <v>0.0149626310362408</v>
      </c>
      <c r="I315" s="19" t="n">
        <v>0.0123399012541171</v>
      </c>
      <c r="J315" s="18" t="n">
        <v>0.995855363936066</v>
      </c>
      <c r="K315" s="29" t="n">
        <v>2.93928388027156</v>
      </c>
      <c r="L315" s="19" t="n">
        <v>0.0362418617569768</v>
      </c>
      <c r="M315" s="17" t="n">
        <v>8</v>
      </c>
      <c r="N315" s="17" t="n">
        <v>8897</v>
      </c>
      <c r="O315" s="17" t="n">
        <v>8</v>
      </c>
      <c r="P315" s="17" t="n">
        <v>640</v>
      </c>
      <c r="Q315" s="17" t="n">
        <v>299</v>
      </c>
      <c r="R315" s="27" t="str">
        <f aca="false">IF(G315=_xlfn.MINIFS($G$2:$G$361,$A$2:$A$361,$A315),"BEST","")</f>
        <v/>
      </c>
    </row>
    <row r="316" customFormat="false" ht="15" hidden="false" customHeight="false" outlineLevel="0" collapsed="false">
      <c r="A316" s="16" t="s">
        <v>51</v>
      </c>
      <c r="B316" s="16" t="s">
        <v>106</v>
      </c>
      <c r="C316" s="16" t="s">
        <v>68</v>
      </c>
      <c r="D316" s="16" t="s">
        <v>107</v>
      </c>
      <c r="E316" s="17" t="s">
        <v>108</v>
      </c>
      <c r="F316" s="17" t="n">
        <v>1</v>
      </c>
      <c r="G316" s="19" t="n">
        <v>0.0700866456368692</v>
      </c>
      <c r="H316" s="19" t="n">
        <v>0.0162892107043479</v>
      </c>
      <c r="I316" s="19" t="n">
        <v>0.0135109923430825</v>
      </c>
      <c r="J316" s="18" t="n">
        <v>0.995087862103372</v>
      </c>
      <c r="K316" s="29" t="n">
        <v>3.21261716679089</v>
      </c>
      <c r="L316" s="19" t="n">
        <v>0.0407424296700322</v>
      </c>
      <c r="M316" s="17" t="n">
        <v>8</v>
      </c>
      <c r="N316" s="17" t="n">
        <v>8897</v>
      </c>
      <c r="O316" s="17" t="n">
        <v>8</v>
      </c>
      <c r="P316" s="17" t="n">
        <v>640</v>
      </c>
      <c r="Q316" s="17" t="n">
        <v>299</v>
      </c>
      <c r="R316" s="27" t="str">
        <f aca="false">IF(G316=_xlfn.MINIFS($G$2:$G$361,$A$2:$A$361,$A316),"BEST","")</f>
        <v/>
      </c>
    </row>
    <row r="317" customFormat="false" ht="15" hidden="false" customHeight="false" outlineLevel="0" collapsed="false">
      <c r="A317" s="16" t="s">
        <v>51</v>
      </c>
      <c r="B317" s="16" t="s">
        <v>106</v>
      </c>
      <c r="C317" s="16" t="s">
        <v>68</v>
      </c>
      <c r="D317" s="16" t="s">
        <v>107</v>
      </c>
      <c r="E317" s="17" t="s">
        <v>108</v>
      </c>
      <c r="F317" s="17" t="n">
        <v>3</v>
      </c>
      <c r="G317" s="19" t="n">
        <v>0.0752657410955578</v>
      </c>
      <c r="H317" s="19" t="n">
        <v>0.0174929118719228</v>
      </c>
      <c r="I317" s="19" t="n">
        <v>0.0146043727983979</v>
      </c>
      <c r="J317" s="18" t="n">
        <v>0.994335068217336</v>
      </c>
      <c r="K317" s="29" t="n">
        <v>3.59173219171468</v>
      </c>
      <c r="L317" s="19" t="n">
        <v>0.0439576156146049</v>
      </c>
      <c r="M317" s="17" t="n">
        <v>8</v>
      </c>
      <c r="N317" s="17" t="n">
        <v>8897</v>
      </c>
      <c r="O317" s="17" t="n">
        <v>8</v>
      </c>
      <c r="P317" s="17" t="n">
        <v>640</v>
      </c>
      <c r="Q317" s="17" t="n">
        <v>299</v>
      </c>
      <c r="R317" s="27" t="str">
        <f aca="false">IF(G317=_xlfn.MINIFS($G$2:$G$361,$A$2:$A$361,$A317),"BEST","")</f>
        <v/>
      </c>
    </row>
    <row r="318" customFormat="false" ht="15" hidden="false" customHeight="false" outlineLevel="0" collapsed="false">
      <c r="A318" s="16" t="s">
        <v>51</v>
      </c>
      <c r="B318" s="16" t="s">
        <v>103</v>
      </c>
      <c r="C318" s="16" t="s">
        <v>68</v>
      </c>
      <c r="D318" s="16" t="s">
        <v>98</v>
      </c>
      <c r="E318" s="17" t="s">
        <v>99</v>
      </c>
      <c r="F318" s="17" t="n">
        <v>0</v>
      </c>
      <c r="G318" s="19" t="n">
        <v>0.0813928502354411</v>
      </c>
      <c r="H318" s="19" t="n">
        <v>0.0189169459497585</v>
      </c>
      <c r="I318" s="19" t="n">
        <v>0.0136759713153073</v>
      </c>
      <c r="J318" s="18" t="n">
        <v>0.993375203930551</v>
      </c>
      <c r="K318" s="29" t="n">
        <v>3.52796881711235</v>
      </c>
      <c r="L318" s="19" t="n">
        <v>0.106973398483689</v>
      </c>
      <c r="M318" s="17" t="n">
        <v>4</v>
      </c>
      <c r="N318" s="17"/>
      <c r="O318" s="17" t="n">
        <v>4</v>
      </c>
      <c r="P318" s="17" t="n">
        <v>799</v>
      </c>
      <c r="Q318" s="17" t="n">
        <v>299</v>
      </c>
      <c r="R318" s="27" t="str">
        <f aca="false">IF(G318=_xlfn.MINIFS($G$2:$G$361,$A$2:$A$361,$A318),"BEST","")</f>
        <v/>
      </c>
    </row>
    <row r="319" customFormat="false" ht="15" hidden="false" customHeight="false" outlineLevel="0" collapsed="false">
      <c r="A319" s="16" t="s">
        <v>51</v>
      </c>
      <c r="B319" s="16" t="s">
        <v>103</v>
      </c>
      <c r="C319" s="16" t="s">
        <v>68</v>
      </c>
      <c r="D319" s="16" t="s">
        <v>98</v>
      </c>
      <c r="E319" s="17" t="s">
        <v>99</v>
      </c>
      <c r="F319" s="17" t="n">
        <v>1</v>
      </c>
      <c r="G319" s="19" t="n">
        <v>0.0813928502354411</v>
      </c>
      <c r="H319" s="19" t="n">
        <v>0.0189169459497585</v>
      </c>
      <c r="I319" s="19" t="n">
        <v>0.0136759713153073</v>
      </c>
      <c r="J319" s="18" t="n">
        <v>0.993375203930551</v>
      </c>
      <c r="K319" s="29" t="n">
        <v>3.52796881711235</v>
      </c>
      <c r="L319" s="19" t="n">
        <v>0.106973398483689</v>
      </c>
      <c r="M319" s="17" t="n">
        <v>4</v>
      </c>
      <c r="N319" s="17"/>
      <c r="O319" s="17" t="n">
        <v>4</v>
      </c>
      <c r="P319" s="17" t="n">
        <v>799</v>
      </c>
      <c r="Q319" s="17" t="n">
        <v>299</v>
      </c>
      <c r="R319" s="27" t="str">
        <f aca="false">IF(G319=_xlfn.MINIFS($G$2:$G$361,$A$2:$A$361,$A319),"BEST","")</f>
        <v/>
      </c>
    </row>
    <row r="320" customFormat="false" ht="15" hidden="false" customHeight="false" outlineLevel="0" collapsed="false">
      <c r="A320" s="16" t="s">
        <v>51</v>
      </c>
      <c r="B320" s="16" t="s">
        <v>103</v>
      </c>
      <c r="C320" s="16" t="s">
        <v>68</v>
      </c>
      <c r="D320" s="16" t="s">
        <v>98</v>
      </c>
      <c r="E320" s="17" t="s">
        <v>99</v>
      </c>
      <c r="F320" s="17" t="n">
        <v>2</v>
      </c>
      <c r="G320" s="19" t="n">
        <v>0.0813928502354411</v>
      </c>
      <c r="H320" s="19" t="n">
        <v>0.0189169459497585</v>
      </c>
      <c r="I320" s="19" t="n">
        <v>0.0136759713153073</v>
      </c>
      <c r="J320" s="18" t="n">
        <v>0.993375203930551</v>
      </c>
      <c r="K320" s="29" t="n">
        <v>3.52796881711235</v>
      </c>
      <c r="L320" s="19" t="n">
        <v>0.106973398483689</v>
      </c>
      <c r="M320" s="17" t="n">
        <v>4</v>
      </c>
      <c r="N320" s="17"/>
      <c r="O320" s="17" t="n">
        <v>4</v>
      </c>
      <c r="P320" s="17" t="n">
        <v>799</v>
      </c>
      <c r="Q320" s="17" t="n">
        <v>299</v>
      </c>
      <c r="R320" s="27" t="str">
        <f aca="false">IF(G320=_xlfn.MINIFS($G$2:$G$361,$A$2:$A$361,$A320),"BEST","")</f>
        <v/>
      </c>
    </row>
    <row r="321" customFormat="false" ht="15" hidden="false" customHeight="false" outlineLevel="0" collapsed="false">
      <c r="A321" s="16" t="s">
        <v>51</v>
      </c>
      <c r="B321" s="16" t="s">
        <v>103</v>
      </c>
      <c r="C321" s="16" t="s">
        <v>68</v>
      </c>
      <c r="D321" s="16" t="s">
        <v>98</v>
      </c>
      <c r="E321" s="17" t="s">
        <v>99</v>
      </c>
      <c r="F321" s="17" t="n">
        <v>3</v>
      </c>
      <c r="G321" s="19" t="n">
        <v>0.0813928502354411</v>
      </c>
      <c r="H321" s="19" t="n">
        <v>0.0189169459497585</v>
      </c>
      <c r="I321" s="19" t="n">
        <v>0.0136759713153073</v>
      </c>
      <c r="J321" s="18" t="n">
        <v>0.993375203930551</v>
      </c>
      <c r="K321" s="29" t="n">
        <v>3.52796881711235</v>
      </c>
      <c r="L321" s="19" t="n">
        <v>0.106973398483689</v>
      </c>
      <c r="M321" s="17" t="n">
        <v>4</v>
      </c>
      <c r="N321" s="17"/>
      <c r="O321" s="17" t="n">
        <v>4</v>
      </c>
      <c r="P321" s="17" t="n">
        <v>799</v>
      </c>
      <c r="Q321" s="17" t="n">
        <v>299</v>
      </c>
      <c r="R321" s="27" t="str">
        <f aca="false">IF(G321=_xlfn.MINIFS($G$2:$G$361,$A$2:$A$361,$A321),"BEST","")</f>
        <v/>
      </c>
    </row>
    <row r="322" customFormat="false" ht="15" hidden="false" customHeight="false" outlineLevel="0" collapsed="false">
      <c r="A322" s="16" t="s">
        <v>51</v>
      </c>
      <c r="B322" s="16" t="s">
        <v>103</v>
      </c>
      <c r="C322" s="16" t="s">
        <v>68</v>
      </c>
      <c r="D322" s="16" t="s">
        <v>98</v>
      </c>
      <c r="E322" s="17" t="s">
        <v>99</v>
      </c>
      <c r="F322" s="17" t="n">
        <v>4</v>
      </c>
      <c r="G322" s="19" t="n">
        <v>0.0813928502354411</v>
      </c>
      <c r="H322" s="19" t="n">
        <v>0.0189169459497585</v>
      </c>
      <c r="I322" s="19" t="n">
        <v>0.0136759713153073</v>
      </c>
      <c r="J322" s="18" t="n">
        <v>0.993375203930551</v>
      </c>
      <c r="K322" s="29" t="n">
        <v>3.52796881711235</v>
      </c>
      <c r="L322" s="19" t="n">
        <v>0.106973398483689</v>
      </c>
      <c r="M322" s="17" t="n">
        <v>4</v>
      </c>
      <c r="N322" s="17"/>
      <c r="O322" s="17" t="n">
        <v>4</v>
      </c>
      <c r="P322" s="17" t="n">
        <v>799</v>
      </c>
      <c r="Q322" s="17" t="n">
        <v>299</v>
      </c>
      <c r="R322" s="27" t="str">
        <f aca="false">IF(G322=_xlfn.MINIFS($G$2:$G$361,$A$2:$A$361,$A322),"BEST","")</f>
        <v/>
      </c>
    </row>
    <row r="323" customFormat="false" ht="15" hidden="false" customHeight="false" outlineLevel="0" collapsed="false">
      <c r="A323" s="16" t="s">
        <v>51</v>
      </c>
      <c r="B323" s="16" t="s">
        <v>115</v>
      </c>
      <c r="C323" s="16" t="s">
        <v>68</v>
      </c>
      <c r="D323" s="16" t="s">
        <v>107</v>
      </c>
      <c r="E323" s="17" t="s">
        <v>108</v>
      </c>
      <c r="F323" s="17" t="n">
        <v>1</v>
      </c>
      <c r="G323" s="19" t="n">
        <v>0.0914387578804951</v>
      </c>
      <c r="H323" s="19" t="n">
        <v>0.021251768865875</v>
      </c>
      <c r="I323" s="19" t="n">
        <v>0.0174233612454546</v>
      </c>
      <c r="J323" s="18" t="n">
        <v>0.991638953557272</v>
      </c>
      <c r="K323" s="29" t="n">
        <v>4.69615061807266</v>
      </c>
      <c r="L323" s="19" t="n">
        <v>0.0483347698081719</v>
      </c>
      <c r="M323" s="17" t="n">
        <v>8</v>
      </c>
      <c r="N323" s="17" t="n">
        <v>12929</v>
      </c>
      <c r="O323" s="17" t="n">
        <v>8</v>
      </c>
      <c r="P323" s="17" t="n">
        <v>640</v>
      </c>
      <c r="Q323" s="17" t="n">
        <v>299</v>
      </c>
      <c r="R323" s="27" t="str">
        <f aca="false">IF(G323=_xlfn.MINIFS($G$2:$G$361,$A$2:$A$361,$A323),"BEST","")</f>
        <v/>
      </c>
    </row>
    <row r="324" customFormat="false" ht="15" hidden="false" customHeight="false" outlineLevel="0" collapsed="false">
      <c r="A324" s="16" t="s">
        <v>51</v>
      </c>
      <c r="B324" s="16" t="s">
        <v>115</v>
      </c>
      <c r="C324" s="16" t="s">
        <v>68</v>
      </c>
      <c r="D324" s="16" t="s">
        <v>107</v>
      </c>
      <c r="E324" s="17" t="s">
        <v>108</v>
      </c>
      <c r="F324" s="17" t="n">
        <v>2</v>
      </c>
      <c r="G324" s="19" t="n">
        <v>0.0968750177012565</v>
      </c>
      <c r="H324" s="19" t="n">
        <v>0.0225152389729018</v>
      </c>
      <c r="I324" s="19" t="n">
        <v>0.0183464688048097</v>
      </c>
      <c r="J324" s="18" t="n">
        <v>0.990615230945381</v>
      </c>
      <c r="K324" s="29" t="n">
        <v>4.98531289198124</v>
      </c>
      <c r="L324" s="19" t="n">
        <v>0.0533141938480505</v>
      </c>
      <c r="M324" s="17" t="n">
        <v>8</v>
      </c>
      <c r="N324" s="17" t="n">
        <v>12929</v>
      </c>
      <c r="O324" s="17" t="n">
        <v>8</v>
      </c>
      <c r="P324" s="17" t="n">
        <v>640</v>
      </c>
      <c r="Q324" s="17" t="n">
        <v>299</v>
      </c>
      <c r="R324" s="27" t="str">
        <f aca="false">IF(G324=_xlfn.MINIFS($G$2:$G$361,$A$2:$A$361,$A324),"BEST","")</f>
        <v/>
      </c>
    </row>
    <row r="325" customFormat="false" ht="15" hidden="false" customHeight="false" outlineLevel="0" collapsed="false">
      <c r="A325" s="16" t="s">
        <v>51</v>
      </c>
      <c r="B325" s="16" t="s">
        <v>115</v>
      </c>
      <c r="C325" s="16" t="s">
        <v>68</v>
      </c>
      <c r="D325" s="16" t="s">
        <v>107</v>
      </c>
      <c r="E325" s="17" t="s">
        <v>108</v>
      </c>
      <c r="F325" s="17" t="n">
        <v>0</v>
      </c>
      <c r="G325" s="19" t="n">
        <v>0.0970253426383282</v>
      </c>
      <c r="H325" s="19" t="n">
        <v>0.0225501767923941</v>
      </c>
      <c r="I325" s="19" t="n">
        <v>0.0184685281519903</v>
      </c>
      <c r="J325" s="18" t="n">
        <v>0.990586082885915</v>
      </c>
      <c r="K325" s="29" t="n">
        <v>4.92075777827461</v>
      </c>
      <c r="L325" s="19" t="n">
        <v>0.0525043178008721</v>
      </c>
      <c r="M325" s="17" t="n">
        <v>8</v>
      </c>
      <c r="N325" s="17" t="n">
        <v>12929</v>
      </c>
      <c r="O325" s="17" t="n">
        <v>8</v>
      </c>
      <c r="P325" s="17" t="n">
        <v>640</v>
      </c>
      <c r="Q325" s="17" t="n">
        <v>299</v>
      </c>
      <c r="R325" s="27" t="str">
        <f aca="false">IF(G325=_xlfn.MINIFS($G$2:$G$361,$A$2:$A$361,$A325),"BEST","")</f>
        <v/>
      </c>
    </row>
    <row r="326" customFormat="false" ht="15" hidden="false" customHeight="false" outlineLevel="0" collapsed="false">
      <c r="A326" s="22" t="s">
        <v>51</v>
      </c>
      <c r="B326" s="22" t="s">
        <v>111</v>
      </c>
      <c r="C326" s="22" t="s">
        <v>72</v>
      </c>
      <c r="D326" s="22" t="s">
        <v>93</v>
      </c>
      <c r="E326" s="23" t="s">
        <v>94</v>
      </c>
      <c r="F326" s="23" t="n">
        <v>4</v>
      </c>
      <c r="G326" s="25" t="n">
        <v>0.097554407609651</v>
      </c>
      <c r="H326" s="25" t="n">
        <v>0.0226731396010127</v>
      </c>
      <c r="I326" s="25" t="n">
        <v>0.0158454111986142</v>
      </c>
      <c r="J326" s="24" t="n">
        <v>0.99048313755593</v>
      </c>
      <c r="K326" s="30" t="n">
        <v>5.54099663428229</v>
      </c>
      <c r="L326" s="25" t="n">
        <v>0.0884467184656037</v>
      </c>
      <c r="M326" s="23" t="n">
        <v>24</v>
      </c>
      <c r="N326" s="23" t="n">
        <v>25</v>
      </c>
      <c r="O326" s="23" t="n">
        <v>5</v>
      </c>
      <c r="P326" s="23" t="n">
        <v>799</v>
      </c>
      <c r="Q326" s="23" t="n">
        <v>299</v>
      </c>
      <c r="R326" s="27" t="str">
        <f aca="false">IF(G326=_xlfn.MINIFS($G$2:$G$361,$A$2:$A$361,$A326),"BEST","")</f>
        <v/>
      </c>
    </row>
    <row r="327" customFormat="false" ht="15" hidden="false" customHeight="false" outlineLevel="0" collapsed="false">
      <c r="A327" s="16" t="s">
        <v>51</v>
      </c>
      <c r="B327" s="16" t="s">
        <v>115</v>
      </c>
      <c r="C327" s="16" t="s">
        <v>68</v>
      </c>
      <c r="D327" s="16" t="s">
        <v>107</v>
      </c>
      <c r="E327" s="17" t="s">
        <v>108</v>
      </c>
      <c r="F327" s="17" t="n">
        <v>3</v>
      </c>
      <c r="G327" s="19" t="n">
        <v>0.0988196309736536</v>
      </c>
      <c r="H327" s="19" t="n">
        <v>0.0229671969036133</v>
      </c>
      <c r="I327" s="19" t="n">
        <v>0.0188063233483474</v>
      </c>
      <c r="J327" s="18" t="n">
        <v>0.990234680534231</v>
      </c>
      <c r="K327" s="29" t="n">
        <v>4.99755560885256</v>
      </c>
      <c r="L327" s="19" t="n">
        <v>0.055805608395017</v>
      </c>
      <c r="M327" s="17" t="n">
        <v>8</v>
      </c>
      <c r="N327" s="17" t="n">
        <v>12929</v>
      </c>
      <c r="O327" s="17" t="n">
        <v>8</v>
      </c>
      <c r="P327" s="17" t="n">
        <v>640</v>
      </c>
      <c r="Q327" s="17" t="n">
        <v>299</v>
      </c>
      <c r="R327" s="27" t="str">
        <f aca="false">IF(G327=_xlfn.MINIFS($G$2:$G$361,$A$2:$A$361,$A327),"BEST","")</f>
        <v/>
      </c>
    </row>
    <row r="328" customFormat="false" ht="15" hidden="false" customHeight="false" outlineLevel="0" collapsed="false">
      <c r="A328" s="22" t="s">
        <v>51</v>
      </c>
      <c r="B328" s="22" t="s">
        <v>111</v>
      </c>
      <c r="C328" s="22" t="s">
        <v>72</v>
      </c>
      <c r="D328" s="22" t="s">
        <v>93</v>
      </c>
      <c r="E328" s="23" t="s">
        <v>94</v>
      </c>
      <c r="F328" s="23" t="n">
        <v>2</v>
      </c>
      <c r="G328" s="25" t="n">
        <v>0.105997199760559</v>
      </c>
      <c r="H328" s="25" t="n">
        <v>0.0246353739044162</v>
      </c>
      <c r="I328" s="25" t="n">
        <v>0.0178167375911726</v>
      </c>
      <c r="J328" s="24" t="n">
        <v>0.98876459364292</v>
      </c>
      <c r="K328" s="30" t="n">
        <v>6.06509724230409</v>
      </c>
      <c r="L328" s="25" t="n">
        <v>0.090666773267528</v>
      </c>
      <c r="M328" s="23" t="n">
        <v>24</v>
      </c>
      <c r="N328" s="23" t="n">
        <v>25</v>
      </c>
      <c r="O328" s="23" t="n">
        <v>5</v>
      </c>
      <c r="P328" s="23" t="n">
        <v>799</v>
      </c>
      <c r="Q328" s="23" t="n">
        <v>299</v>
      </c>
      <c r="R328" s="27" t="str">
        <f aca="false">IF(G328=_xlfn.MINIFS($G$2:$G$361,$A$2:$A$361,$A328),"BEST","")</f>
        <v/>
      </c>
    </row>
    <row r="329" customFormat="false" ht="15" hidden="false" customHeight="false" outlineLevel="0" collapsed="false">
      <c r="A329" s="16" t="s">
        <v>51</v>
      </c>
      <c r="B329" s="16" t="s">
        <v>110</v>
      </c>
      <c r="C329" s="16" t="s">
        <v>68</v>
      </c>
      <c r="D329" s="16" t="s">
        <v>107</v>
      </c>
      <c r="E329" s="17" t="s">
        <v>108</v>
      </c>
      <c r="F329" s="17" t="n">
        <v>4</v>
      </c>
      <c r="G329" s="19" t="n">
        <v>0.107416141273123</v>
      </c>
      <c r="H329" s="19" t="n">
        <v>0.024965157660869</v>
      </c>
      <c r="I329" s="19" t="n">
        <v>0.021064462527628</v>
      </c>
      <c r="J329" s="18" t="n">
        <v>0.988461772593993</v>
      </c>
      <c r="K329" s="29" t="n">
        <v>5.28386844438367</v>
      </c>
      <c r="L329" s="19" t="n">
        <v>0.0528840353095051</v>
      </c>
      <c r="M329" s="17" t="n">
        <v>8</v>
      </c>
      <c r="N329" s="17" t="n">
        <v>12673</v>
      </c>
      <c r="O329" s="17" t="n">
        <v>8</v>
      </c>
      <c r="P329" s="17" t="n">
        <v>640</v>
      </c>
      <c r="Q329" s="17" t="n">
        <v>299</v>
      </c>
      <c r="R329" s="27" t="str">
        <f aca="false">IF(G329=_xlfn.MINIFS($G$2:$G$361,$A$2:$A$361,$A329),"BEST","")</f>
        <v/>
      </c>
    </row>
    <row r="330" customFormat="false" ht="15" hidden="false" customHeight="false" outlineLevel="0" collapsed="false">
      <c r="A330" s="22" t="s">
        <v>51</v>
      </c>
      <c r="B330" s="22" t="s">
        <v>111</v>
      </c>
      <c r="C330" s="22" t="s">
        <v>72</v>
      </c>
      <c r="D330" s="22" t="s">
        <v>93</v>
      </c>
      <c r="E330" s="23" t="s">
        <v>94</v>
      </c>
      <c r="F330" s="23" t="n">
        <v>0</v>
      </c>
      <c r="G330" s="25" t="n">
        <v>0.107715932960482</v>
      </c>
      <c r="H330" s="25" t="n">
        <v>0.0250348338440909</v>
      </c>
      <c r="I330" s="25" t="n">
        <v>0.0184617537995334</v>
      </c>
      <c r="J330" s="24" t="n">
        <v>0.988397277786453</v>
      </c>
      <c r="K330" s="30" t="n">
        <v>6.16937483562016</v>
      </c>
      <c r="L330" s="25" t="n">
        <v>0.0909475612609958</v>
      </c>
      <c r="M330" s="23" t="n">
        <v>24</v>
      </c>
      <c r="N330" s="23" t="n">
        <v>25</v>
      </c>
      <c r="O330" s="23" t="n">
        <v>5</v>
      </c>
      <c r="P330" s="23" t="n">
        <v>799</v>
      </c>
      <c r="Q330" s="23" t="n">
        <v>299</v>
      </c>
      <c r="R330" s="27" t="str">
        <f aca="false">IF(G330=_xlfn.MINIFS($G$2:$G$361,$A$2:$A$361,$A330),"BEST","")</f>
        <v/>
      </c>
    </row>
    <row r="331" customFormat="false" ht="15" hidden="false" customHeight="false" outlineLevel="0" collapsed="false">
      <c r="A331" s="22" t="s">
        <v>51</v>
      </c>
      <c r="B331" s="22" t="s">
        <v>111</v>
      </c>
      <c r="C331" s="22" t="s">
        <v>72</v>
      </c>
      <c r="D331" s="22" t="s">
        <v>93</v>
      </c>
      <c r="E331" s="23" t="s">
        <v>94</v>
      </c>
      <c r="F331" s="23" t="n">
        <v>3</v>
      </c>
      <c r="G331" s="25" t="n">
        <v>0.108322100727698</v>
      </c>
      <c r="H331" s="25" t="n">
        <v>0.0251757165242741</v>
      </c>
      <c r="I331" s="25" t="n">
        <v>0.018619416924039</v>
      </c>
      <c r="J331" s="24" t="n">
        <v>0.988266322493938</v>
      </c>
      <c r="K331" s="30" t="n">
        <v>6.2043738088695</v>
      </c>
      <c r="L331" s="25" t="n">
        <v>0.0911634646031514</v>
      </c>
      <c r="M331" s="23" t="n">
        <v>24</v>
      </c>
      <c r="N331" s="23" t="n">
        <v>25</v>
      </c>
      <c r="O331" s="23" t="n">
        <v>5</v>
      </c>
      <c r="P331" s="23" t="n">
        <v>799</v>
      </c>
      <c r="Q331" s="23" t="n">
        <v>299</v>
      </c>
      <c r="R331" s="27" t="str">
        <f aca="false">IF(G331=_xlfn.MINIFS($G$2:$G$361,$A$2:$A$361,$A331),"BEST","")</f>
        <v/>
      </c>
    </row>
    <row r="332" customFormat="false" ht="15" hidden="false" customHeight="false" outlineLevel="0" collapsed="false">
      <c r="A332" s="16" t="s">
        <v>51</v>
      </c>
      <c r="B332" s="16" t="s">
        <v>110</v>
      </c>
      <c r="C332" s="16" t="s">
        <v>68</v>
      </c>
      <c r="D332" s="16" t="s">
        <v>107</v>
      </c>
      <c r="E332" s="17" t="s">
        <v>108</v>
      </c>
      <c r="F332" s="17" t="n">
        <v>1</v>
      </c>
      <c r="G332" s="19" t="n">
        <v>0.115887223182922</v>
      </c>
      <c r="H332" s="19" t="n">
        <v>0.0269339669378523</v>
      </c>
      <c r="I332" s="19" t="n">
        <v>0.0227595839736784</v>
      </c>
      <c r="J332" s="18" t="n">
        <v>0.986570151502952</v>
      </c>
      <c r="K332" s="29" t="n">
        <v>5.51182460684585</v>
      </c>
      <c r="L332" s="19" t="n">
        <v>0.056047015389156</v>
      </c>
      <c r="M332" s="17" t="n">
        <v>8</v>
      </c>
      <c r="N332" s="17" t="n">
        <v>12673</v>
      </c>
      <c r="O332" s="17" t="n">
        <v>8</v>
      </c>
      <c r="P332" s="17" t="n">
        <v>640</v>
      </c>
      <c r="Q332" s="17" t="n">
        <v>299</v>
      </c>
      <c r="R332" s="27" t="str">
        <f aca="false">IF(G332=_xlfn.MINIFS($G$2:$G$361,$A$2:$A$361,$A332),"BEST","")</f>
        <v/>
      </c>
    </row>
    <row r="333" customFormat="false" ht="15" hidden="false" customHeight="false" outlineLevel="0" collapsed="false">
      <c r="A333" s="16" t="s">
        <v>51</v>
      </c>
      <c r="B333" s="16" t="s">
        <v>110</v>
      </c>
      <c r="C333" s="16" t="s">
        <v>68</v>
      </c>
      <c r="D333" s="16" t="s">
        <v>107</v>
      </c>
      <c r="E333" s="17" t="s">
        <v>108</v>
      </c>
      <c r="F333" s="17" t="n">
        <v>0</v>
      </c>
      <c r="G333" s="19" t="n">
        <v>0.116962112983257</v>
      </c>
      <c r="H333" s="19" t="n">
        <v>0.0271837878029045</v>
      </c>
      <c r="I333" s="19" t="n">
        <v>0.022914582669862</v>
      </c>
      <c r="J333" s="18" t="n">
        <v>0.986319864126492</v>
      </c>
      <c r="K333" s="29" t="n">
        <v>5.65678376007703</v>
      </c>
      <c r="L333" s="19" t="n">
        <v>0.0666347889968014</v>
      </c>
      <c r="M333" s="17" t="n">
        <v>8</v>
      </c>
      <c r="N333" s="17" t="n">
        <v>12673</v>
      </c>
      <c r="O333" s="17" t="n">
        <v>8</v>
      </c>
      <c r="P333" s="17" t="n">
        <v>640</v>
      </c>
      <c r="Q333" s="17" t="n">
        <v>299</v>
      </c>
      <c r="R333" s="27" t="str">
        <f aca="false">IF(G333=_xlfn.MINIFS($G$2:$G$361,$A$2:$A$361,$A333),"BEST","")</f>
        <v/>
      </c>
    </row>
    <row r="334" customFormat="false" ht="15" hidden="false" customHeight="false" outlineLevel="0" collapsed="false">
      <c r="A334" s="16" t="s">
        <v>51</v>
      </c>
      <c r="B334" s="16" t="s">
        <v>115</v>
      </c>
      <c r="C334" s="16" t="s">
        <v>68</v>
      </c>
      <c r="D334" s="16" t="s">
        <v>107</v>
      </c>
      <c r="E334" s="17" t="s">
        <v>108</v>
      </c>
      <c r="F334" s="17" t="n">
        <v>4</v>
      </c>
      <c r="G334" s="19" t="n">
        <v>0.117267495725681</v>
      </c>
      <c r="H334" s="19" t="n">
        <v>0.0272547634330208</v>
      </c>
      <c r="I334" s="19" t="n">
        <v>0.0223853175261909</v>
      </c>
      <c r="J334" s="18" t="n">
        <v>0.986248334446228</v>
      </c>
      <c r="K334" s="29" t="n">
        <v>5.79787468876932</v>
      </c>
      <c r="L334" s="19" t="n">
        <v>0.0666622071333981</v>
      </c>
      <c r="M334" s="17" t="n">
        <v>8</v>
      </c>
      <c r="N334" s="17" t="n">
        <v>12929</v>
      </c>
      <c r="O334" s="17" t="n">
        <v>8</v>
      </c>
      <c r="P334" s="17" t="n">
        <v>640</v>
      </c>
      <c r="Q334" s="17" t="n">
        <v>299</v>
      </c>
      <c r="R334" s="27" t="str">
        <f aca="false">IF(G334=_xlfn.MINIFS($G$2:$G$361,$A$2:$A$361,$A334),"BEST","")</f>
        <v/>
      </c>
    </row>
    <row r="335" customFormat="false" ht="15" hidden="false" customHeight="false" outlineLevel="0" collapsed="false">
      <c r="A335" s="16" t="s">
        <v>51</v>
      </c>
      <c r="B335" s="16" t="s">
        <v>110</v>
      </c>
      <c r="C335" s="16" t="s">
        <v>68</v>
      </c>
      <c r="D335" s="16" t="s">
        <v>107</v>
      </c>
      <c r="E335" s="17" t="s">
        <v>108</v>
      </c>
      <c r="F335" s="17" t="n">
        <v>3</v>
      </c>
      <c r="G335" s="19" t="n">
        <v>0.120314892575096</v>
      </c>
      <c r="H335" s="19" t="n">
        <v>0.0279630251700295</v>
      </c>
      <c r="I335" s="19" t="n">
        <v>0.0234609340434468</v>
      </c>
      <c r="J335" s="18" t="n">
        <v>0.985524326624643</v>
      </c>
      <c r="K335" s="29" t="n">
        <v>5.74341505183904</v>
      </c>
      <c r="L335" s="19" t="n">
        <v>0.0623956985523199</v>
      </c>
      <c r="M335" s="17" t="n">
        <v>8</v>
      </c>
      <c r="N335" s="17" t="n">
        <v>12673</v>
      </c>
      <c r="O335" s="17" t="n">
        <v>8</v>
      </c>
      <c r="P335" s="17" t="n">
        <v>640</v>
      </c>
      <c r="Q335" s="17" t="n">
        <v>299</v>
      </c>
      <c r="R335" s="27" t="str">
        <f aca="false">IF(G335=_xlfn.MINIFS($G$2:$G$361,$A$2:$A$361,$A335),"BEST","")</f>
        <v/>
      </c>
    </row>
    <row r="336" customFormat="false" ht="15" hidden="false" customHeight="false" outlineLevel="0" collapsed="false">
      <c r="A336" s="22" t="s">
        <v>51</v>
      </c>
      <c r="B336" s="22" t="s">
        <v>111</v>
      </c>
      <c r="C336" s="22" t="s">
        <v>72</v>
      </c>
      <c r="D336" s="22" t="s">
        <v>93</v>
      </c>
      <c r="E336" s="23" t="s">
        <v>94</v>
      </c>
      <c r="F336" s="23" t="n">
        <v>1</v>
      </c>
      <c r="G336" s="25" t="n">
        <v>0.129874782044789</v>
      </c>
      <c r="H336" s="25" t="n">
        <v>0.0301848900127122</v>
      </c>
      <c r="I336" s="25" t="n">
        <v>0.0216802923597045</v>
      </c>
      <c r="J336" s="24" t="n">
        <v>0.983132540988818</v>
      </c>
      <c r="K336" s="30" t="n">
        <v>6.90474460990239</v>
      </c>
      <c r="L336" s="25" t="n">
        <v>0.10951260891705</v>
      </c>
      <c r="M336" s="23" t="n">
        <v>24</v>
      </c>
      <c r="N336" s="23" t="n">
        <v>25</v>
      </c>
      <c r="O336" s="23" t="n">
        <v>5</v>
      </c>
      <c r="P336" s="23" t="n">
        <v>799</v>
      </c>
      <c r="Q336" s="23" t="n">
        <v>299</v>
      </c>
      <c r="R336" s="27" t="str">
        <f aca="false">IF(G336=_xlfn.MINIFS($G$2:$G$361,$A$2:$A$361,$A336),"BEST","")</f>
        <v/>
      </c>
    </row>
    <row r="337" customFormat="false" ht="15" hidden="false" customHeight="false" outlineLevel="0" collapsed="false">
      <c r="A337" s="16" t="s">
        <v>51</v>
      </c>
      <c r="B337" s="16" t="s">
        <v>126</v>
      </c>
      <c r="C337" s="16" t="s">
        <v>68</v>
      </c>
      <c r="D337" s="16" t="s">
        <v>121</v>
      </c>
      <c r="E337" s="16" t="s">
        <v>127</v>
      </c>
      <c r="F337" s="17" t="n">
        <v>0</v>
      </c>
      <c r="G337" s="19" t="n">
        <v>0.150672910305214</v>
      </c>
      <c r="H337" s="19" t="n">
        <v>0.0350186938053122</v>
      </c>
      <c r="I337" s="19" t="n">
        <v>0.0291829843715633</v>
      </c>
      <c r="J337" s="18" t="n">
        <v>0.977297674100157</v>
      </c>
      <c r="K337" s="29" t="n">
        <v>7.47900543157857</v>
      </c>
      <c r="L337" s="19" t="n">
        <v>0.0844718067858968</v>
      </c>
      <c r="M337" s="17" t="n">
        <v>1</v>
      </c>
      <c r="N337" s="17" t="n">
        <v>0</v>
      </c>
      <c r="O337" s="17" t="n">
        <v>1</v>
      </c>
      <c r="P337" s="17" t="n">
        <v>0</v>
      </c>
      <c r="Q337" s="17" t="n">
        <v>299</v>
      </c>
      <c r="R337" s="27" t="str">
        <f aca="false">IF(G337=_xlfn.MINIFS($G$2:$G$361,$A$2:$A$361,$A337),"BEST","")</f>
        <v/>
      </c>
    </row>
    <row r="338" customFormat="false" ht="15" hidden="false" customHeight="false" outlineLevel="0" collapsed="false">
      <c r="A338" s="16" t="s">
        <v>51</v>
      </c>
      <c r="B338" s="16" t="s">
        <v>126</v>
      </c>
      <c r="C338" s="16" t="s">
        <v>68</v>
      </c>
      <c r="D338" s="16" t="s">
        <v>121</v>
      </c>
      <c r="E338" s="16" t="s">
        <v>127</v>
      </c>
      <c r="F338" s="17" t="n">
        <v>1</v>
      </c>
      <c r="G338" s="19" t="n">
        <v>0.150672910305214</v>
      </c>
      <c r="H338" s="19" t="n">
        <v>0.0350186938053122</v>
      </c>
      <c r="I338" s="19" t="n">
        <v>0.0291829843715633</v>
      </c>
      <c r="J338" s="18" t="n">
        <v>0.977297674100157</v>
      </c>
      <c r="K338" s="29" t="n">
        <v>7.47900543157857</v>
      </c>
      <c r="L338" s="19" t="n">
        <v>0.0844718067858968</v>
      </c>
      <c r="M338" s="17" t="n">
        <v>1</v>
      </c>
      <c r="N338" s="17" t="n">
        <v>0</v>
      </c>
      <c r="O338" s="17" t="n">
        <v>1</v>
      </c>
      <c r="P338" s="17" t="n">
        <v>0</v>
      </c>
      <c r="Q338" s="17" t="n">
        <v>299</v>
      </c>
      <c r="R338" s="27" t="str">
        <f aca="false">IF(G338=_xlfn.MINIFS($G$2:$G$361,$A$2:$A$361,$A338),"BEST","")</f>
        <v/>
      </c>
    </row>
    <row r="339" customFormat="false" ht="15" hidden="false" customHeight="false" outlineLevel="0" collapsed="false">
      <c r="A339" s="16" t="s">
        <v>51</v>
      </c>
      <c r="B339" s="16" t="s">
        <v>126</v>
      </c>
      <c r="C339" s="16" t="s">
        <v>68</v>
      </c>
      <c r="D339" s="16" t="s">
        <v>121</v>
      </c>
      <c r="E339" s="16" t="s">
        <v>127</v>
      </c>
      <c r="F339" s="17" t="n">
        <v>2</v>
      </c>
      <c r="G339" s="19" t="n">
        <v>0.150672910305214</v>
      </c>
      <c r="H339" s="19" t="n">
        <v>0.0350186938053122</v>
      </c>
      <c r="I339" s="19" t="n">
        <v>0.0291829843715633</v>
      </c>
      <c r="J339" s="18" t="n">
        <v>0.977297674100157</v>
      </c>
      <c r="K339" s="29" t="n">
        <v>7.47900543157857</v>
      </c>
      <c r="L339" s="19" t="n">
        <v>0.0844718067858968</v>
      </c>
      <c r="M339" s="17" t="n">
        <v>1</v>
      </c>
      <c r="N339" s="17" t="n">
        <v>0</v>
      </c>
      <c r="O339" s="17" t="n">
        <v>1</v>
      </c>
      <c r="P339" s="17" t="n">
        <v>0</v>
      </c>
      <c r="Q339" s="17" t="n">
        <v>299</v>
      </c>
      <c r="R339" s="27" t="str">
        <f aca="false">IF(G339=_xlfn.MINIFS($G$2:$G$361,$A$2:$A$361,$A339),"BEST","")</f>
        <v/>
      </c>
    </row>
    <row r="340" customFormat="false" ht="15" hidden="false" customHeight="false" outlineLevel="0" collapsed="false">
      <c r="A340" s="16" t="s">
        <v>51</v>
      </c>
      <c r="B340" s="16" t="s">
        <v>126</v>
      </c>
      <c r="C340" s="16" t="s">
        <v>68</v>
      </c>
      <c r="D340" s="16" t="s">
        <v>121</v>
      </c>
      <c r="E340" s="16" t="s">
        <v>127</v>
      </c>
      <c r="F340" s="17" t="n">
        <v>3</v>
      </c>
      <c r="G340" s="19" t="n">
        <v>0.150672910305214</v>
      </c>
      <c r="H340" s="19" t="n">
        <v>0.0350186938053122</v>
      </c>
      <c r="I340" s="19" t="n">
        <v>0.0291829843715633</v>
      </c>
      <c r="J340" s="18" t="n">
        <v>0.977297674100157</v>
      </c>
      <c r="K340" s="29" t="n">
        <v>7.47900543157857</v>
      </c>
      <c r="L340" s="19" t="n">
        <v>0.0844718067858968</v>
      </c>
      <c r="M340" s="17" t="n">
        <v>1</v>
      </c>
      <c r="N340" s="17" t="n">
        <v>0</v>
      </c>
      <c r="O340" s="17" t="n">
        <v>1</v>
      </c>
      <c r="P340" s="17" t="n">
        <v>0</v>
      </c>
      <c r="Q340" s="17" t="n">
        <v>299</v>
      </c>
      <c r="R340" s="27" t="str">
        <f aca="false">IF(G340=_xlfn.MINIFS($G$2:$G$361,$A$2:$A$361,$A340),"BEST","")</f>
        <v/>
      </c>
    </row>
    <row r="341" customFormat="false" ht="15" hidden="false" customHeight="false" outlineLevel="0" collapsed="false">
      <c r="A341" s="16" t="s">
        <v>51</v>
      </c>
      <c r="B341" s="16" t="s">
        <v>126</v>
      </c>
      <c r="C341" s="16" t="s">
        <v>68</v>
      </c>
      <c r="D341" s="16" t="s">
        <v>121</v>
      </c>
      <c r="E341" s="16" t="s">
        <v>127</v>
      </c>
      <c r="F341" s="17" t="n">
        <v>4</v>
      </c>
      <c r="G341" s="19" t="n">
        <v>0.150672910305214</v>
      </c>
      <c r="H341" s="19" t="n">
        <v>0.0350186938053122</v>
      </c>
      <c r="I341" s="19" t="n">
        <v>0.0291829843715633</v>
      </c>
      <c r="J341" s="18" t="n">
        <v>0.977297674100157</v>
      </c>
      <c r="K341" s="29" t="n">
        <v>7.47900543157857</v>
      </c>
      <c r="L341" s="19" t="n">
        <v>0.0844718067858968</v>
      </c>
      <c r="M341" s="17" t="n">
        <v>1</v>
      </c>
      <c r="N341" s="17" t="n">
        <v>0</v>
      </c>
      <c r="O341" s="17" t="n">
        <v>1</v>
      </c>
      <c r="P341" s="17" t="n">
        <v>0</v>
      </c>
      <c r="Q341" s="17" t="n">
        <v>299</v>
      </c>
      <c r="R341" s="27" t="str">
        <f aca="false">IF(G341=_xlfn.MINIFS($G$2:$G$361,$A$2:$A$361,$A341),"BEST","")</f>
        <v/>
      </c>
    </row>
    <row r="342" customFormat="false" ht="15" hidden="false" customHeight="false" outlineLevel="0" collapsed="false">
      <c r="A342" s="16" t="s">
        <v>51</v>
      </c>
      <c r="B342" s="16" t="s">
        <v>124</v>
      </c>
      <c r="C342" s="16" t="s">
        <v>68</v>
      </c>
      <c r="D342" s="16" t="s">
        <v>121</v>
      </c>
      <c r="E342" s="17" t="s">
        <v>125</v>
      </c>
      <c r="F342" s="17" t="n">
        <v>0</v>
      </c>
      <c r="G342" s="19" t="n">
        <v>0.150686435551199</v>
      </c>
      <c r="H342" s="19" t="n">
        <v>0.0350218372797883</v>
      </c>
      <c r="I342" s="19" t="n">
        <v>0.0291865259634889</v>
      </c>
      <c r="J342" s="18" t="n">
        <v>0.977293598140874</v>
      </c>
      <c r="K342" s="29" t="n">
        <v>7.48345540484361</v>
      </c>
      <c r="L342" s="19" t="n">
        <v>0.0842772097058394</v>
      </c>
      <c r="M342" s="17" t="n">
        <v>2</v>
      </c>
      <c r="N342" s="17" t="n">
        <v>4</v>
      </c>
      <c r="O342" s="17" t="n">
        <v>1</v>
      </c>
      <c r="P342" s="17" t="n">
        <v>800</v>
      </c>
      <c r="Q342" s="17" t="n">
        <v>299</v>
      </c>
      <c r="R342" s="27" t="str">
        <f aca="false">IF(G342=_xlfn.MINIFS($G$2:$G$361,$A$2:$A$361,$A342),"BEST","")</f>
        <v/>
      </c>
    </row>
    <row r="343" customFormat="false" ht="15" hidden="false" customHeight="false" outlineLevel="0" collapsed="false">
      <c r="A343" s="16" t="s">
        <v>51</v>
      </c>
      <c r="B343" s="16" t="s">
        <v>124</v>
      </c>
      <c r="C343" s="16" t="s">
        <v>68</v>
      </c>
      <c r="D343" s="16" t="s">
        <v>121</v>
      </c>
      <c r="E343" s="17" t="s">
        <v>125</v>
      </c>
      <c r="F343" s="17" t="n">
        <v>1</v>
      </c>
      <c r="G343" s="19" t="n">
        <v>0.150686435551199</v>
      </c>
      <c r="H343" s="19" t="n">
        <v>0.0350218372797883</v>
      </c>
      <c r="I343" s="19" t="n">
        <v>0.0291865259634889</v>
      </c>
      <c r="J343" s="18" t="n">
        <v>0.977293598140874</v>
      </c>
      <c r="K343" s="29" t="n">
        <v>7.48345540484361</v>
      </c>
      <c r="L343" s="19" t="n">
        <v>0.0842772097058394</v>
      </c>
      <c r="M343" s="17" t="n">
        <v>2</v>
      </c>
      <c r="N343" s="17" t="n">
        <v>4</v>
      </c>
      <c r="O343" s="17" t="n">
        <v>1</v>
      </c>
      <c r="P343" s="17" t="n">
        <v>800</v>
      </c>
      <c r="Q343" s="17" t="n">
        <v>299</v>
      </c>
      <c r="R343" s="27" t="str">
        <f aca="false">IF(G343=_xlfn.MINIFS($G$2:$G$361,$A$2:$A$361,$A343),"BEST","")</f>
        <v/>
      </c>
    </row>
    <row r="344" customFormat="false" ht="15" hidden="false" customHeight="false" outlineLevel="0" collapsed="false">
      <c r="A344" s="16" t="s">
        <v>51</v>
      </c>
      <c r="B344" s="16" t="s">
        <v>124</v>
      </c>
      <c r="C344" s="16" t="s">
        <v>68</v>
      </c>
      <c r="D344" s="16" t="s">
        <v>121</v>
      </c>
      <c r="E344" s="17" t="s">
        <v>125</v>
      </c>
      <c r="F344" s="17" t="n">
        <v>2</v>
      </c>
      <c r="G344" s="19" t="n">
        <v>0.150686435551199</v>
      </c>
      <c r="H344" s="19" t="n">
        <v>0.0350218372797883</v>
      </c>
      <c r="I344" s="19" t="n">
        <v>0.0291865259634889</v>
      </c>
      <c r="J344" s="18" t="n">
        <v>0.977293598140874</v>
      </c>
      <c r="K344" s="29" t="n">
        <v>7.48345540484361</v>
      </c>
      <c r="L344" s="19" t="n">
        <v>0.0842772097058394</v>
      </c>
      <c r="M344" s="17" t="n">
        <v>2</v>
      </c>
      <c r="N344" s="17" t="n">
        <v>4</v>
      </c>
      <c r="O344" s="17" t="n">
        <v>1</v>
      </c>
      <c r="P344" s="17" t="n">
        <v>800</v>
      </c>
      <c r="Q344" s="17" t="n">
        <v>299</v>
      </c>
      <c r="R344" s="27" t="str">
        <f aca="false">IF(G344=_xlfn.MINIFS($G$2:$G$361,$A$2:$A$361,$A344),"BEST","")</f>
        <v/>
      </c>
    </row>
    <row r="345" customFormat="false" ht="15" hidden="false" customHeight="false" outlineLevel="0" collapsed="false">
      <c r="A345" s="16" t="s">
        <v>51</v>
      </c>
      <c r="B345" s="16" t="s">
        <v>124</v>
      </c>
      <c r="C345" s="16" t="s">
        <v>68</v>
      </c>
      <c r="D345" s="16" t="s">
        <v>121</v>
      </c>
      <c r="E345" s="17" t="s">
        <v>125</v>
      </c>
      <c r="F345" s="17" t="n">
        <v>3</v>
      </c>
      <c r="G345" s="19" t="n">
        <v>0.150686435551199</v>
      </c>
      <c r="H345" s="19" t="n">
        <v>0.0350218372797883</v>
      </c>
      <c r="I345" s="19" t="n">
        <v>0.0291865259634889</v>
      </c>
      <c r="J345" s="18" t="n">
        <v>0.977293598140874</v>
      </c>
      <c r="K345" s="29" t="n">
        <v>7.48345540484361</v>
      </c>
      <c r="L345" s="19" t="n">
        <v>0.0842772097058394</v>
      </c>
      <c r="M345" s="17" t="n">
        <v>2</v>
      </c>
      <c r="N345" s="17" t="n">
        <v>4</v>
      </c>
      <c r="O345" s="17" t="n">
        <v>1</v>
      </c>
      <c r="P345" s="17" t="n">
        <v>800</v>
      </c>
      <c r="Q345" s="17" t="n">
        <v>299</v>
      </c>
      <c r="R345" s="27" t="str">
        <f aca="false">IF(G345=_xlfn.MINIFS($G$2:$G$361,$A$2:$A$361,$A345),"BEST","")</f>
        <v/>
      </c>
    </row>
    <row r="346" customFormat="false" ht="15" hidden="false" customHeight="false" outlineLevel="0" collapsed="false">
      <c r="A346" s="16" t="s">
        <v>51</v>
      </c>
      <c r="B346" s="16" t="s">
        <v>124</v>
      </c>
      <c r="C346" s="16" t="s">
        <v>68</v>
      </c>
      <c r="D346" s="16" t="s">
        <v>121</v>
      </c>
      <c r="E346" s="17" t="s">
        <v>125</v>
      </c>
      <c r="F346" s="17" t="n">
        <v>4</v>
      </c>
      <c r="G346" s="19" t="n">
        <v>0.150686435551199</v>
      </c>
      <c r="H346" s="19" t="n">
        <v>0.0350218372797883</v>
      </c>
      <c r="I346" s="19" t="n">
        <v>0.0291865259634889</v>
      </c>
      <c r="J346" s="18" t="n">
        <v>0.977293598140874</v>
      </c>
      <c r="K346" s="29" t="n">
        <v>7.48345540484361</v>
      </c>
      <c r="L346" s="19" t="n">
        <v>0.0842772097058394</v>
      </c>
      <c r="M346" s="17" t="n">
        <v>2</v>
      </c>
      <c r="N346" s="17" t="n">
        <v>4</v>
      </c>
      <c r="O346" s="17" t="n">
        <v>1</v>
      </c>
      <c r="P346" s="17" t="n">
        <v>800</v>
      </c>
      <c r="Q346" s="17" t="n">
        <v>299</v>
      </c>
      <c r="R346" s="27" t="str">
        <f aca="false">IF(G346=_xlfn.MINIFS($G$2:$G$361,$A$2:$A$361,$A346),"BEST","")</f>
        <v/>
      </c>
    </row>
    <row r="347" customFormat="false" ht="15" hidden="false" customHeight="false" outlineLevel="0" collapsed="false">
      <c r="A347" s="22" t="s">
        <v>51</v>
      </c>
      <c r="B347" s="22" t="s">
        <v>113</v>
      </c>
      <c r="C347" s="22" t="s">
        <v>72</v>
      </c>
      <c r="D347" s="22" t="s">
        <v>93</v>
      </c>
      <c r="E347" s="23" t="s">
        <v>114</v>
      </c>
      <c r="F347" s="23" t="n">
        <v>0</v>
      </c>
      <c r="G347" s="25" t="n">
        <v>0.15780812029301</v>
      </c>
      <c r="H347" s="25" t="n">
        <v>0.0366770259719444</v>
      </c>
      <c r="I347" s="25" t="n">
        <v>0.0297832778813657</v>
      </c>
      <c r="J347" s="24" t="n">
        <v>0.975096597169587</v>
      </c>
      <c r="K347" s="30" t="n">
        <v>8.83780594473697</v>
      </c>
      <c r="L347" s="25" t="n">
        <v>0.1455565586122</v>
      </c>
      <c r="M347" s="23" t="n">
        <v>11</v>
      </c>
      <c r="N347" s="23" t="n">
        <v>12</v>
      </c>
      <c r="O347" s="23" t="n">
        <v>3</v>
      </c>
      <c r="P347" s="23" t="n">
        <v>799</v>
      </c>
      <c r="Q347" s="23" t="n">
        <v>299</v>
      </c>
      <c r="R347" s="27" t="str">
        <f aca="false">IF(G347=_xlfn.MINIFS($G$2:$G$361,$A$2:$A$361,$A347),"BEST","")</f>
        <v/>
      </c>
    </row>
    <row r="348" customFormat="false" ht="15" hidden="false" customHeight="false" outlineLevel="0" collapsed="false">
      <c r="A348" s="22" t="s">
        <v>51</v>
      </c>
      <c r="B348" s="22" t="s">
        <v>113</v>
      </c>
      <c r="C348" s="22" t="s">
        <v>72</v>
      </c>
      <c r="D348" s="22" t="s">
        <v>93</v>
      </c>
      <c r="E348" s="23" t="s">
        <v>114</v>
      </c>
      <c r="F348" s="23" t="n">
        <v>1</v>
      </c>
      <c r="G348" s="25" t="n">
        <v>0.15780812029301</v>
      </c>
      <c r="H348" s="25" t="n">
        <v>0.0366770259719444</v>
      </c>
      <c r="I348" s="25" t="n">
        <v>0.0297832778813657</v>
      </c>
      <c r="J348" s="24" t="n">
        <v>0.975096597169587</v>
      </c>
      <c r="K348" s="30" t="n">
        <v>8.83780594473697</v>
      </c>
      <c r="L348" s="25" t="n">
        <v>0.1455565586122</v>
      </c>
      <c r="M348" s="23" t="n">
        <v>11</v>
      </c>
      <c r="N348" s="23" t="n">
        <v>12</v>
      </c>
      <c r="O348" s="23" t="n">
        <v>3</v>
      </c>
      <c r="P348" s="23" t="n">
        <v>799</v>
      </c>
      <c r="Q348" s="23" t="n">
        <v>299</v>
      </c>
      <c r="R348" s="27" t="str">
        <f aca="false">IF(G348=_xlfn.MINIFS($G$2:$G$361,$A$2:$A$361,$A348),"BEST","")</f>
        <v/>
      </c>
    </row>
    <row r="349" customFormat="false" ht="15" hidden="false" customHeight="false" outlineLevel="0" collapsed="false">
      <c r="A349" s="22" t="s">
        <v>51</v>
      </c>
      <c r="B349" s="22" t="s">
        <v>113</v>
      </c>
      <c r="C349" s="22" t="s">
        <v>72</v>
      </c>
      <c r="D349" s="22" t="s">
        <v>93</v>
      </c>
      <c r="E349" s="23" t="s">
        <v>114</v>
      </c>
      <c r="F349" s="23" t="n">
        <v>2</v>
      </c>
      <c r="G349" s="25" t="n">
        <v>0.15780812029301</v>
      </c>
      <c r="H349" s="25" t="n">
        <v>0.0366770259719444</v>
      </c>
      <c r="I349" s="25" t="n">
        <v>0.0297832778813657</v>
      </c>
      <c r="J349" s="24" t="n">
        <v>0.975096597169587</v>
      </c>
      <c r="K349" s="30" t="n">
        <v>8.83780594473697</v>
      </c>
      <c r="L349" s="25" t="n">
        <v>0.1455565586122</v>
      </c>
      <c r="M349" s="23" t="n">
        <v>11</v>
      </c>
      <c r="N349" s="23" t="n">
        <v>12</v>
      </c>
      <c r="O349" s="23" t="n">
        <v>3</v>
      </c>
      <c r="P349" s="23" t="n">
        <v>799</v>
      </c>
      <c r="Q349" s="23" t="n">
        <v>299</v>
      </c>
      <c r="R349" s="27" t="str">
        <f aca="false">IF(G349=_xlfn.MINIFS($G$2:$G$361,$A$2:$A$361,$A349),"BEST","")</f>
        <v/>
      </c>
    </row>
    <row r="350" customFormat="false" ht="15" hidden="false" customHeight="false" outlineLevel="0" collapsed="false">
      <c r="A350" s="22" t="s">
        <v>51</v>
      </c>
      <c r="B350" s="22" t="s">
        <v>113</v>
      </c>
      <c r="C350" s="22" t="s">
        <v>72</v>
      </c>
      <c r="D350" s="22" t="s">
        <v>93</v>
      </c>
      <c r="E350" s="23" t="s">
        <v>114</v>
      </c>
      <c r="F350" s="23" t="n">
        <v>3</v>
      </c>
      <c r="G350" s="25" t="n">
        <v>0.15780812029301</v>
      </c>
      <c r="H350" s="25" t="n">
        <v>0.0366770259719444</v>
      </c>
      <c r="I350" s="25" t="n">
        <v>0.0297832778813657</v>
      </c>
      <c r="J350" s="24" t="n">
        <v>0.975096597169587</v>
      </c>
      <c r="K350" s="30" t="n">
        <v>8.83780594473697</v>
      </c>
      <c r="L350" s="25" t="n">
        <v>0.1455565586122</v>
      </c>
      <c r="M350" s="23" t="n">
        <v>11</v>
      </c>
      <c r="N350" s="23" t="n">
        <v>12</v>
      </c>
      <c r="O350" s="23" t="n">
        <v>3</v>
      </c>
      <c r="P350" s="23" t="n">
        <v>799</v>
      </c>
      <c r="Q350" s="23" t="n">
        <v>299</v>
      </c>
      <c r="R350" s="27" t="str">
        <f aca="false">IF(G350=_xlfn.MINIFS($G$2:$G$361,$A$2:$A$361,$A350),"BEST","")</f>
        <v/>
      </c>
    </row>
    <row r="351" customFormat="false" ht="15" hidden="false" customHeight="false" outlineLevel="0" collapsed="false">
      <c r="A351" s="22" t="s">
        <v>51</v>
      </c>
      <c r="B351" s="22" t="s">
        <v>113</v>
      </c>
      <c r="C351" s="22" t="s">
        <v>72</v>
      </c>
      <c r="D351" s="22" t="s">
        <v>93</v>
      </c>
      <c r="E351" s="23" t="s">
        <v>114</v>
      </c>
      <c r="F351" s="23" t="n">
        <v>4</v>
      </c>
      <c r="G351" s="25" t="n">
        <v>0.15780812029301</v>
      </c>
      <c r="H351" s="25" t="n">
        <v>0.0366770259719444</v>
      </c>
      <c r="I351" s="25" t="n">
        <v>0.0297832778813657</v>
      </c>
      <c r="J351" s="24" t="n">
        <v>0.975096597169587</v>
      </c>
      <c r="K351" s="30" t="n">
        <v>8.83780594473697</v>
      </c>
      <c r="L351" s="25" t="n">
        <v>0.1455565586122</v>
      </c>
      <c r="M351" s="23" t="n">
        <v>11</v>
      </c>
      <c r="N351" s="23" t="n">
        <v>12</v>
      </c>
      <c r="O351" s="23" t="n">
        <v>3</v>
      </c>
      <c r="P351" s="23" t="n">
        <v>799</v>
      </c>
      <c r="Q351" s="23" t="n">
        <v>299</v>
      </c>
      <c r="R351" s="27" t="str">
        <f aca="false">IF(G351=_xlfn.MINIFS($G$2:$G$361,$A$2:$A$361,$A351),"BEST","")</f>
        <v/>
      </c>
    </row>
    <row r="352" customFormat="false" ht="15" hidden="false" customHeight="false" outlineLevel="0" collapsed="false">
      <c r="A352" s="16" t="s">
        <v>51</v>
      </c>
      <c r="B352" s="16" t="s">
        <v>117</v>
      </c>
      <c r="C352" s="16" t="s">
        <v>68</v>
      </c>
      <c r="D352" s="16" t="s">
        <v>107</v>
      </c>
      <c r="E352" s="17" t="s">
        <v>108</v>
      </c>
      <c r="F352" s="17" t="n">
        <v>2</v>
      </c>
      <c r="G352" s="19" t="n">
        <v>0.165147726204874</v>
      </c>
      <c r="H352" s="19" t="n">
        <v>0.038382862884224</v>
      </c>
      <c r="I352" s="19" t="n">
        <v>0.0322092968553313</v>
      </c>
      <c r="J352" s="18" t="n">
        <v>0.97272622852936</v>
      </c>
      <c r="K352" s="29" t="n">
        <v>8.05941352940238</v>
      </c>
      <c r="L352" s="19" t="n">
        <v>0.0851618199416256</v>
      </c>
      <c r="M352" s="17" t="n">
        <v>8</v>
      </c>
      <c r="N352" s="17" t="n">
        <v>17217</v>
      </c>
      <c r="O352" s="17" t="n">
        <v>8</v>
      </c>
      <c r="P352" s="17" t="n">
        <v>640</v>
      </c>
      <c r="Q352" s="17" t="n">
        <v>299</v>
      </c>
      <c r="R352" s="27" t="str">
        <f aca="false">IF(G352=_xlfn.MINIFS($G$2:$G$361,$A$2:$A$361,$A352),"BEST","")</f>
        <v/>
      </c>
    </row>
    <row r="353" customFormat="false" ht="15" hidden="false" customHeight="false" outlineLevel="0" collapsed="false">
      <c r="A353" s="16" t="s">
        <v>51</v>
      </c>
      <c r="B353" s="16" t="s">
        <v>117</v>
      </c>
      <c r="C353" s="16" t="s">
        <v>68</v>
      </c>
      <c r="D353" s="16" t="s">
        <v>107</v>
      </c>
      <c r="E353" s="17" t="s">
        <v>108</v>
      </c>
      <c r="F353" s="17" t="n">
        <v>0</v>
      </c>
      <c r="G353" s="19" t="n">
        <v>0.176818228121091</v>
      </c>
      <c r="H353" s="19" t="n">
        <v>0.0410952664100499</v>
      </c>
      <c r="I353" s="19" t="n">
        <v>0.0346904234582196</v>
      </c>
      <c r="J353" s="18" t="n">
        <v>0.968735314204118</v>
      </c>
      <c r="K353" s="29" t="n">
        <v>8.73790749545204</v>
      </c>
      <c r="L353" s="19" t="n">
        <v>0.0908204464980221</v>
      </c>
      <c r="M353" s="17" t="n">
        <v>8</v>
      </c>
      <c r="N353" s="17" t="n">
        <v>17217</v>
      </c>
      <c r="O353" s="17" t="n">
        <v>8</v>
      </c>
      <c r="P353" s="17" t="n">
        <v>640</v>
      </c>
      <c r="Q353" s="17" t="n">
        <v>299</v>
      </c>
      <c r="R353" s="27" t="str">
        <f aca="false">IF(G353=_xlfn.MINIFS($G$2:$G$361,$A$2:$A$361,$A353),"BEST","")</f>
        <v/>
      </c>
    </row>
    <row r="354" customFormat="false" ht="15" hidden="false" customHeight="false" outlineLevel="0" collapsed="false">
      <c r="A354" s="16" t="s">
        <v>51</v>
      </c>
      <c r="B354" s="16" t="s">
        <v>117</v>
      </c>
      <c r="C354" s="16" t="s">
        <v>68</v>
      </c>
      <c r="D354" s="16" t="s">
        <v>107</v>
      </c>
      <c r="E354" s="17" t="s">
        <v>108</v>
      </c>
      <c r="F354" s="17" t="n">
        <v>3</v>
      </c>
      <c r="G354" s="19" t="n">
        <v>0.178438569551337</v>
      </c>
      <c r="H354" s="19" t="n">
        <v>0.0414718585943443</v>
      </c>
      <c r="I354" s="19" t="n">
        <v>0.0348835810480776</v>
      </c>
      <c r="J354" s="18" t="n">
        <v>0.968159676896473</v>
      </c>
      <c r="K354" s="29" t="n">
        <v>8.74709768976289</v>
      </c>
      <c r="L354" s="19" t="n">
        <v>0.0912925152846432</v>
      </c>
      <c r="M354" s="17" t="n">
        <v>8</v>
      </c>
      <c r="N354" s="17" t="n">
        <v>17217</v>
      </c>
      <c r="O354" s="17" t="n">
        <v>8</v>
      </c>
      <c r="P354" s="17" t="n">
        <v>640</v>
      </c>
      <c r="Q354" s="17" t="n">
        <v>299</v>
      </c>
      <c r="R354" s="27" t="str">
        <f aca="false">IF(G354=_xlfn.MINIFS($G$2:$G$361,$A$2:$A$361,$A354),"BEST","")</f>
        <v/>
      </c>
    </row>
    <row r="355" customFormat="false" ht="15" hidden="false" customHeight="false" outlineLevel="0" collapsed="false">
      <c r="A355" s="16" t="s">
        <v>51</v>
      </c>
      <c r="B355" s="16" t="s">
        <v>117</v>
      </c>
      <c r="C355" s="16" t="s">
        <v>68</v>
      </c>
      <c r="D355" s="16" t="s">
        <v>107</v>
      </c>
      <c r="E355" s="17" t="s">
        <v>108</v>
      </c>
      <c r="F355" s="17" t="n">
        <v>1</v>
      </c>
      <c r="G355" s="19" t="n">
        <v>0.188164321668104</v>
      </c>
      <c r="H355" s="19" t="n">
        <v>0.043732272458479</v>
      </c>
      <c r="I355" s="19" t="n">
        <v>0.0371105161114486</v>
      </c>
      <c r="J355" s="18" t="n">
        <v>0.964594188051182</v>
      </c>
      <c r="K355" s="29" t="n">
        <v>9.44147224548943</v>
      </c>
      <c r="L355" s="19" t="n">
        <v>0.0965656786032773</v>
      </c>
      <c r="M355" s="17" t="n">
        <v>8</v>
      </c>
      <c r="N355" s="17" t="n">
        <v>17217</v>
      </c>
      <c r="O355" s="17" t="n">
        <v>8</v>
      </c>
      <c r="P355" s="17" t="n">
        <v>640</v>
      </c>
      <c r="Q355" s="17" t="n">
        <v>299</v>
      </c>
      <c r="R355" s="27" t="str">
        <f aca="false">IF(G355=_xlfn.MINIFS($G$2:$G$361,$A$2:$A$361,$A355),"BEST","")</f>
        <v/>
      </c>
    </row>
    <row r="356" customFormat="false" ht="15" hidden="false" customHeight="false" outlineLevel="0" collapsed="false">
      <c r="A356" s="16" t="s">
        <v>51</v>
      </c>
      <c r="B356" s="16" t="s">
        <v>117</v>
      </c>
      <c r="C356" s="16" t="s">
        <v>68</v>
      </c>
      <c r="D356" s="16" t="s">
        <v>107</v>
      </c>
      <c r="E356" s="17" t="s">
        <v>108</v>
      </c>
      <c r="F356" s="17" t="n">
        <v>4</v>
      </c>
      <c r="G356" s="19" t="n">
        <v>0.206300404934009</v>
      </c>
      <c r="H356" s="19" t="n">
        <v>0.0479473761916574</v>
      </c>
      <c r="I356" s="19" t="n">
        <v>0.0408158780446401</v>
      </c>
      <c r="J356" s="18" t="n">
        <v>0.957440142924064</v>
      </c>
      <c r="K356" s="29" t="n">
        <v>10.237743948332</v>
      </c>
      <c r="L356" s="19" t="n">
        <v>0.0977718381949521</v>
      </c>
      <c r="M356" s="17" t="n">
        <v>8</v>
      </c>
      <c r="N356" s="17" t="n">
        <v>17217</v>
      </c>
      <c r="O356" s="17" t="n">
        <v>8</v>
      </c>
      <c r="P356" s="17" t="n">
        <v>640</v>
      </c>
      <c r="Q356" s="17" t="n">
        <v>299</v>
      </c>
      <c r="R356" s="27" t="str">
        <f aca="false">IF(G356=_xlfn.MINIFS($G$2:$G$361,$A$2:$A$361,$A356),"BEST","")</f>
        <v/>
      </c>
    </row>
    <row r="357" customFormat="false" ht="15" hidden="false" customHeight="false" outlineLevel="0" collapsed="false">
      <c r="A357" s="16" t="s">
        <v>51</v>
      </c>
      <c r="B357" s="16" t="s">
        <v>112</v>
      </c>
      <c r="C357" s="16" t="s">
        <v>68</v>
      </c>
      <c r="D357" s="16" t="s">
        <v>98</v>
      </c>
      <c r="E357" s="17" t="s">
        <v>99</v>
      </c>
      <c r="F357" s="17" t="n">
        <v>0</v>
      </c>
      <c r="G357" s="19" t="n">
        <v>0.265777516447955</v>
      </c>
      <c r="H357" s="19" t="n">
        <v>0.0617707685474048</v>
      </c>
      <c r="I357" s="19" t="n">
        <v>0.0548553918257806</v>
      </c>
      <c r="J357" s="18" t="n">
        <v>0.929362311750757</v>
      </c>
      <c r="K357" s="29" t="n">
        <v>13.2185074793277</v>
      </c>
      <c r="L357" s="19" t="n">
        <v>0.100560867504827</v>
      </c>
      <c r="M357" s="17" t="n">
        <v>4</v>
      </c>
      <c r="N357" s="17"/>
      <c r="O357" s="17" t="n">
        <v>4</v>
      </c>
      <c r="P357" s="17" t="n">
        <v>799</v>
      </c>
      <c r="Q357" s="17" t="n">
        <v>299</v>
      </c>
      <c r="R357" s="27" t="str">
        <f aca="false">IF(G357=_xlfn.MINIFS($G$2:$G$361,$A$2:$A$361,$A357),"BEST","")</f>
        <v/>
      </c>
    </row>
    <row r="358" customFormat="false" ht="15" hidden="false" customHeight="false" outlineLevel="0" collapsed="false">
      <c r="A358" s="16" t="s">
        <v>51</v>
      </c>
      <c r="B358" s="16" t="s">
        <v>112</v>
      </c>
      <c r="C358" s="16" t="s">
        <v>68</v>
      </c>
      <c r="D358" s="16" t="s">
        <v>98</v>
      </c>
      <c r="E358" s="17" t="s">
        <v>99</v>
      </c>
      <c r="F358" s="17" t="n">
        <v>1</v>
      </c>
      <c r="G358" s="19" t="n">
        <v>0.265777516447955</v>
      </c>
      <c r="H358" s="19" t="n">
        <v>0.0617707685474048</v>
      </c>
      <c r="I358" s="19" t="n">
        <v>0.0548553918257806</v>
      </c>
      <c r="J358" s="18" t="n">
        <v>0.929362311750757</v>
      </c>
      <c r="K358" s="29" t="n">
        <v>13.2185074793277</v>
      </c>
      <c r="L358" s="19" t="n">
        <v>0.100560867504827</v>
      </c>
      <c r="M358" s="17" t="n">
        <v>4</v>
      </c>
      <c r="N358" s="17"/>
      <c r="O358" s="17" t="n">
        <v>4</v>
      </c>
      <c r="P358" s="17" t="n">
        <v>799</v>
      </c>
      <c r="Q358" s="17" t="n">
        <v>299</v>
      </c>
      <c r="R358" s="27" t="str">
        <f aca="false">IF(G358=_xlfn.MINIFS($G$2:$G$361,$A$2:$A$361,$A358),"BEST","")</f>
        <v/>
      </c>
    </row>
    <row r="359" customFormat="false" ht="15" hidden="false" customHeight="false" outlineLevel="0" collapsed="false">
      <c r="A359" s="16" t="s">
        <v>51</v>
      </c>
      <c r="B359" s="16" t="s">
        <v>112</v>
      </c>
      <c r="C359" s="16" t="s">
        <v>68</v>
      </c>
      <c r="D359" s="16" t="s">
        <v>98</v>
      </c>
      <c r="E359" s="17" t="s">
        <v>99</v>
      </c>
      <c r="F359" s="17" t="n">
        <v>2</v>
      </c>
      <c r="G359" s="19" t="n">
        <v>0.265777516447955</v>
      </c>
      <c r="H359" s="19" t="n">
        <v>0.0617707685474048</v>
      </c>
      <c r="I359" s="19" t="n">
        <v>0.0548553918257806</v>
      </c>
      <c r="J359" s="18" t="n">
        <v>0.929362311750757</v>
      </c>
      <c r="K359" s="29" t="n">
        <v>13.2185074793277</v>
      </c>
      <c r="L359" s="19" t="n">
        <v>0.100560867504827</v>
      </c>
      <c r="M359" s="17" t="n">
        <v>4</v>
      </c>
      <c r="N359" s="17"/>
      <c r="O359" s="17" t="n">
        <v>4</v>
      </c>
      <c r="P359" s="17" t="n">
        <v>799</v>
      </c>
      <c r="Q359" s="17" t="n">
        <v>299</v>
      </c>
      <c r="R359" s="27" t="str">
        <f aca="false">IF(G359=_xlfn.MINIFS($G$2:$G$361,$A$2:$A$361,$A359),"BEST","")</f>
        <v/>
      </c>
    </row>
    <row r="360" customFormat="false" ht="15" hidden="false" customHeight="false" outlineLevel="0" collapsed="false">
      <c r="A360" s="16" t="s">
        <v>51</v>
      </c>
      <c r="B360" s="16" t="s">
        <v>112</v>
      </c>
      <c r="C360" s="16" t="s">
        <v>68</v>
      </c>
      <c r="D360" s="16" t="s">
        <v>98</v>
      </c>
      <c r="E360" s="17" t="s">
        <v>99</v>
      </c>
      <c r="F360" s="17" t="n">
        <v>3</v>
      </c>
      <c r="G360" s="19" t="n">
        <v>0.265777516447955</v>
      </c>
      <c r="H360" s="19" t="n">
        <v>0.0617707685474048</v>
      </c>
      <c r="I360" s="19" t="n">
        <v>0.0548553918257806</v>
      </c>
      <c r="J360" s="18" t="n">
        <v>0.929362311750757</v>
      </c>
      <c r="K360" s="29" t="n">
        <v>13.2185074793277</v>
      </c>
      <c r="L360" s="19" t="n">
        <v>0.100560867504827</v>
      </c>
      <c r="M360" s="17" t="n">
        <v>4</v>
      </c>
      <c r="N360" s="17"/>
      <c r="O360" s="17" t="n">
        <v>4</v>
      </c>
      <c r="P360" s="17" t="n">
        <v>799</v>
      </c>
      <c r="Q360" s="17" t="n">
        <v>299</v>
      </c>
      <c r="R360" s="27" t="str">
        <f aca="false">IF(G360=_xlfn.MINIFS($G$2:$G$361,$A$2:$A$361,$A360),"BEST","")</f>
        <v/>
      </c>
    </row>
    <row r="361" customFormat="false" ht="15" hidden="false" customHeight="false" outlineLevel="0" collapsed="false">
      <c r="A361" s="16" t="s">
        <v>51</v>
      </c>
      <c r="B361" s="16" t="s">
        <v>112</v>
      </c>
      <c r="C361" s="16" t="s">
        <v>68</v>
      </c>
      <c r="D361" s="16" t="s">
        <v>98</v>
      </c>
      <c r="E361" s="17" t="s">
        <v>99</v>
      </c>
      <c r="F361" s="17" t="n">
        <v>4</v>
      </c>
      <c r="G361" s="19" t="n">
        <v>0.265777516447955</v>
      </c>
      <c r="H361" s="19" t="n">
        <v>0.0617707685474048</v>
      </c>
      <c r="I361" s="19" t="n">
        <v>0.0548553918257806</v>
      </c>
      <c r="J361" s="18" t="n">
        <v>0.929362311750757</v>
      </c>
      <c r="K361" s="29" t="n">
        <v>13.2185074793277</v>
      </c>
      <c r="L361" s="19" t="n">
        <v>0.100560867504827</v>
      </c>
      <c r="M361" s="17" t="n">
        <v>4</v>
      </c>
      <c r="N361" s="17"/>
      <c r="O361" s="17" t="n">
        <v>4</v>
      </c>
      <c r="P361" s="17" t="n">
        <v>799</v>
      </c>
      <c r="Q361" s="17" t="n">
        <v>299</v>
      </c>
      <c r="R361" s="27" t="str">
        <f aca="false">IF(G361=_xlfn.MINIFS($G$2:$G$361,$A$2:$A$361,$A361),"BEST","")</f>
        <v/>
      </c>
    </row>
  </sheetData>
  <autoFilter ref="A1:R361"/>
  <conditionalFormatting sqref="G2:G361">
    <cfRule type="expression" priority="2" aboveAverage="0" equalAverage="0" bottom="0" percent="0" rank="0" text="" dxfId="8">
      <formula>$R2="BEST"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16"/>
    <col collapsed="false" customWidth="true" hidden="false" outlineLevel="0" max="4" min="4" style="0" width="60"/>
  </cols>
  <sheetData>
    <row r="2" customFormat="false" ht="16.15" hidden="false" customHeight="false" outlineLevel="0" collapsed="false">
      <c r="B2" s="31" t="s">
        <v>128</v>
      </c>
    </row>
    <row r="4" customFormat="false" ht="15" hidden="false" customHeight="false" outlineLevel="0" collapsed="false">
      <c r="B4" s="32" t="s">
        <v>129</v>
      </c>
      <c r="C4" s="33" t="n">
        <f aca="false">COUNTIF('DM comparisons'!E2:E322,"yes")</f>
        <v>214</v>
      </c>
      <c r="D4" s="34" t="s">
        <v>130</v>
      </c>
    </row>
    <row r="5" customFormat="false" ht="15" hidden="false" customHeight="false" outlineLevel="0" collapsed="false">
      <c r="B5" s="32" t="s">
        <v>131</v>
      </c>
      <c r="C5" s="33" t="n">
        <f aca="false">COUNTIFS('DM comparisons'!E2:E322,"yes",'DM comparisons'!G2:G322,"&gt;0")</f>
        <v>213</v>
      </c>
      <c r="D5" s="34" t="s">
        <v>132</v>
      </c>
    </row>
    <row r="6" customFormat="false" ht="15" hidden="false" customHeight="false" outlineLevel="0" collapsed="false">
      <c r="B6" s="32" t="s">
        <v>133</v>
      </c>
      <c r="C6" s="33" t="n">
        <f aca="false">COUNTIFS('DM comparisons'!E2:E322,"yes",'DM comparisons'!G2:G322,"&lt;0")</f>
        <v>1</v>
      </c>
      <c r="D6" s="34" t="s">
        <v>134</v>
      </c>
    </row>
    <row r="7" customFormat="false" ht="15" hidden="false" customHeight="false" outlineLevel="0" collapsed="false">
      <c r="B7" s="32" t="s">
        <v>135</v>
      </c>
      <c r="C7" s="35" t="n">
        <f aca="false">_xlfn.MAXIFS('DM comparisons'!H2:H322,'DM comparisons'!E2:E322,"yes")</f>
        <v>5.63222707421025E-005</v>
      </c>
      <c r="D7" s="34" t="s">
        <v>136</v>
      </c>
    </row>
    <row r="8" customFormat="false" ht="15" hidden="false" customHeight="false" outlineLevel="0" collapsed="false">
      <c r="B8" s="32" t="s">
        <v>137</v>
      </c>
      <c r="C8" s="35" t="n">
        <f aca="false">MAX('DM comparisons'!I2:I322)</f>
        <v>9.7202312571131E-005</v>
      </c>
      <c r="D8" s="34" t="s">
        <v>138</v>
      </c>
    </row>
    <row r="10" customFormat="false" ht="32.8" hidden="false" customHeight="false" outlineLevel="0" collapsed="false">
      <c r="B10" s="32" t="s">
        <v>139</v>
      </c>
      <c r="C10" s="36" t="n">
        <f aca="false">AVERAGEIF('Measured results'!$D$2:$D$948,"Quantum",'Measured results'!$F$2:$F$948)</f>
        <v>0.00773132431979472</v>
      </c>
      <c r="D10" s="34" t="s">
        <v>140</v>
      </c>
    </row>
    <row r="11" customFormat="false" ht="15" hidden="false" customHeight="false" outlineLevel="0" collapsed="false">
      <c r="B11" s="32" t="s">
        <v>141</v>
      </c>
      <c r="C11" s="36" t="n">
        <f aca="false">AVERAGEIF('Measured results'!$D$2:$D$948,"Classical",'Measured results'!$F$2:$F$948)</f>
        <v>0.0195239235681752</v>
      </c>
      <c r="D11" s="34" t="s">
        <v>142</v>
      </c>
    </row>
    <row r="12" customFormat="false" ht="15" hidden="false" customHeight="false" outlineLevel="0" collapsed="false">
      <c r="B12" s="32" t="s">
        <v>143</v>
      </c>
      <c r="C12" s="36" t="str">
        <f aca="false">_xlfn.MINIFS('Measured results'!$F$2:$F$948,'Measured results'!$D$2:$D$948,"Quantum")&amp;"  /  "&amp;_xlfn.MINIFS('Measured results'!$F$2:$F$948,'Measured results'!$D$2:$D$948,"Classical")</f>
        <v>0.00372469754720013  /  0.0000015867011999559</v>
      </c>
      <c r="D12" s="34" t="s">
        <v>144</v>
      </c>
    </row>
    <row r="13" customFormat="false" ht="15" hidden="false" customHeight="false" outlineLevel="0" collapsed="false">
      <c r="B13" s="32" t="s">
        <v>145</v>
      </c>
      <c r="C13" s="36" t="n">
        <f aca="false">MIN('Measured results'!F2:F948)</f>
        <v>1.5867011999559E-006</v>
      </c>
      <c r="D13" s="34" t="s">
        <v>146</v>
      </c>
    </row>
    <row r="14" customFormat="false" ht="15" hidden="false" customHeight="false" outlineLevel="0" collapsed="false">
      <c r="B14" s="32" t="s">
        <v>147</v>
      </c>
      <c r="C14" s="33" t="n">
        <f aca="false">COUNTA('Measured results'!A2:A948)</f>
        <v>947</v>
      </c>
      <c r="D14" s="34"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2026-08-10T02:42:14Z</dcterms:created>
  <dc:creator>openpyxl</dc:creator>
  <dc:description/>
  <dc:language>en-US</dc:language>
  <cp:lastModifiedBy/>
  <dcterms:modified xsi:type="dcterms:W3CDTF">2026-08-10T02:42:15Z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